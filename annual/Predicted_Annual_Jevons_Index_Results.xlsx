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300" activeTab="1"/>
  </bookViews>
  <sheets>
    <sheet name="Predicted_Prices" sheetId="1" r:id="rId1"/>
    <sheet name="Adjacent Predicted Years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<sst xmlns="http://schemas.openxmlformats.org/spreadsheetml/2006/main" count="863" uniqueCount="341">
  <si>
    <t>Company Name</t>
  </si>
  <si>
    <t>Model Name</t>
  </si>
  <si>
    <t>ASIN1</t>
  </si>
  <si>
    <t>ASIN2</t>
  </si>
  <si>
    <t>2020_predicted</t>
  </si>
  <si>
    <t>2021_predicted</t>
  </si>
  <si>
    <t>2022_predicted</t>
  </si>
  <si>
    <t>2023_predicted</t>
  </si>
  <si>
    <t>2024_predicted</t>
  </si>
  <si>
    <t>2025_predicted</t>
  </si>
  <si>
    <t>Apple</t>
  </si>
  <si>
    <t>iPhone XS Max 64GB</t>
  </si>
  <si>
    <t>B07K8RNW7H</t>
  </si>
  <si>
    <t>iPhone XS Max 256GB</t>
  </si>
  <si>
    <t>B07KFNRQ5S</t>
  </si>
  <si>
    <t>iPhone XS Max 512GB</t>
  </si>
  <si>
    <t>B07P6298Y8</t>
  </si>
  <si>
    <t>iPhone XR 64GB</t>
  </si>
  <si>
    <t>B07P6Y7954</t>
  </si>
  <si>
    <t>iPhone XR 256GB</t>
  </si>
  <si>
    <t>B07P6Y7JW1</t>
  </si>
  <si>
    <t>iPhone XR 128GB</t>
  </si>
  <si>
    <t>B07P976BBH</t>
  </si>
  <si>
    <t>iPhone XS 64GB</t>
  </si>
  <si>
    <t>B07SC58QBW</t>
  </si>
  <si>
    <t>iPhone XS 256GB</t>
  </si>
  <si>
    <t>B07TJBCC7H</t>
  </si>
  <si>
    <t>Samsung</t>
  </si>
  <si>
    <t>Galaxy Note 10 256GB</t>
  </si>
  <si>
    <t>B07Z3XZDT5</t>
  </si>
  <si>
    <t>Galaxy Note 10+ 512GB</t>
  </si>
  <si>
    <t>B07Z45BH81</t>
  </si>
  <si>
    <t>iPhone 11 64GB</t>
  </si>
  <si>
    <t>B07ZPKN6YR</t>
  </si>
  <si>
    <t>iPhone 11 128GB</t>
  </si>
  <si>
    <t>B07ZPKR714</t>
  </si>
  <si>
    <t>iPhone 11 Pro 64GB</t>
  </si>
  <si>
    <t>B07ZPKZSSC</t>
  </si>
  <si>
    <t>iPhone 11 256GB</t>
  </si>
  <si>
    <t>B07ZPL6Y2D</t>
  </si>
  <si>
    <t>iPhone 11 Pro 256GB</t>
  </si>
  <si>
    <t>B07ZQRL9XY</t>
  </si>
  <si>
    <t>iPhone 11 Pro Max 512GB</t>
  </si>
  <si>
    <t>B07ZQRW6N1</t>
  </si>
  <si>
    <t>iPhone 11 Pro Max 64GB</t>
  </si>
  <si>
    <t>B07ZQSQSBM</t>
  </si>
  <si>
    <t>iPhone 11 Pro 512GB</t>
  </si>
  <si>
    <t>B07ZQSQXCW</t>
  </si>
  <si>
    <t>iPhone 11 Pro Max 256GB</t>
  </si>
  <si>
    <t>B07ZQSSKY4</t>
  </si>
  <si>
    <t>Oppo</t>
  </si>
  <si>
    <t>Find N2 Flip 256GB</t>
  </si>
  <si>
    <t>B082F1QKHK</t>
  </si>
  <si>
    <t/>
  </si>
  <si>
    <t>Galaxy Note 10+ 256GB</t>
  </si>
  <si>
    <t>B0845ZVJW3</t>
  </si>
  <si>
    <t>iPhone XS 512GB</t>
  </si>
  <si>
    <t>B085P2R3DQ</t>
  </si>
  <si>
    <t>OnePlus</t>
  </si>
  <si>
    <t>OnePlus 7 Pro 5G 256GB</t>
  </si>
  <si>
    <t>B085PZQPFX</t>
  </si>
  <si>
    <t>OnePlus 8 Pro 256GB</t>
  </si>
  <si>
    <t>B08HCTH2MH</t>
  </si>
  <si>
    <t>Galaxy Note 20 Ultra 128GB</t>
  </si>
  <si>
    <t>B08HL64JS8</t>
  </si>
  <si>
    <t>iPhone 12 Pro Max 256GB</t>
  </si>
  <si>
    <t>B08PMKQP79</t>
  </si>
  <si>
    <t>iPhone 12 Pro Max 128GB</t>
  </si>
  <si>
    <t>B08PMP778K</t>
  </si>
  <si>
    <t>iPhone 12 Pro Max 512GB</t>
  </si>
  <si>
    <t>B08PMTFVZK</t>
  </si>
  <si>
    <t>iPhone 12 Pro 128GB</t>
  </si>
  <si>
    <t>B08PMYLKVF</t>
  </si>
  <si>
    <t>iPhone 12 Pro 512GB</t>
  </si>
  <si>
    <t>B08PN8R5HT</t>
  </si>
  <si>
    <t>iPhone 12 Pro 256GB</t>
  </si>
  <si>
    <t>B08PNHB9L7</t>
  </si>
  <si>
    <t>iPhone 12 mini 128GB</t>
  </si>
  <si>
    <t>B08PNKN4J7</t>
  </si>
  <si>
    <t>iPhone 12 64GB</t>
  </si>
  <si>
    <t>B08PNM1LNZ</t>
  </si>
  <si>
    <t>iPhone 12 128GB</t>
  </si>
  <si>
    <t>B08PNXVB6B</t>
  </si>
  <si>
    <t>iPhone 12 256GB</t>
  </si>
  <si>
    <t>B08PP2GVNZ</t>
  </si>
  <si>
    <t>iPhone 12 mini 256GB</t>
  </si>
  <si>
    <t>B08PP8943S</t>
  </si>
  <si>
    <t>iPhone 12 mini 64GB</t>
  </si>
  <si>
    <t>B08PPDJWC8</t>
  </si>
  <si>
    <t>OnePlus 8 128GB</t>
  </si>
  <si>
    <t>B08R6MQ7BQ</t>
  </si>
  <si>
    <t>OnePlus Nord N10 5G 128GB</t>
  </si>
  <si>
    <t>B08XJVZT4R</t>
  </si>
  <si>
    <t>OnePlus 9 Pro 256GB</t>
  </si>
  <si>
    <t>B093GS36QT</t>
  </si>
  <si>
    <t>OnePlus 9 128GB</t>
  </si>
  <si>
    <t>B093YSSN6T</t>
  </si>
  <si>
    <t>Galaxy Note 20 128GB</t>
  </si>
  <si>
    <t>B093ZCPS14</t>
  </si>
  <si>
    <t>OnePlus Nord 2 5G 128GB</t>
  </si>
  <si>
    <t>B099RPX1SG</t>
  </si>
  <si>
    <t>OnePlus Nord N200 64GB</t>
  </si>
  <si>
    <t>B09BM2FZ3M</t>
  </si>
  <si>
    <t>OnePlus Nord N100 5G 64GB</t>
  </si>
  <si>
    <t>B09D1BCGPP</t>
  </si>
  <si>
    <t>iPhone 13 mini 512GB</t>
  </si>
  <si>
    <t>B09LKLGWYX</t>
  </si>
  <si>
    <t>iPhone 13 mini 256GB</t>
  </si>
  <si>
    <t>B09LKM34XN</t>
  </si>
  <si>
    <t>iPhone 13 mini 128GB</t>
  </si>
  <si>
    <t>B09LKXHWCF</t>
  </si>
  <si>
    <t>iPhone 13 256GB</t>
  </si>
  <si>
    <t>B09LNCVCKW</t>
  </si>
  <si>
    <t>iPhone 13 128GB</t>
  </si>
  <si>
    <t>B09LNKXBRJ</t>
  </si>
  <si>
    <t>iPhone 13 512GB</t>
  </si>
  <si>
    <t>B09LNZDS6Y</t>
  </si>
  <si>
    <t>iPhone 13 Pro 512GB</t>
  </si>
  <si>
    <t>B09LP988K8</t>
  </si>
  <si>
    <t>iPhone 13 Pro Max 512GB</t>
  </si>
  <si>
    <t>B09LPGFVYR</t>
  </si>
  <si>
    <t>B09LPB9SQH</t>
  </si>
  <si>
    <t>iPhone 13 Pro 128GB</t>
  </si>
  <si>
    <t>B09LPF7KC7</t>
  </si>
  <si>
    <t>iPhone 13 Pro Max 128GB</t>
  </si>
  <si>
    <t>B09LPK77YY</t>
  </si>
  <si>
    <t>iPhone 13 Pro 256GB</t>
  </si>
  <si>
    <t>B09LPN7C8Z</t>
  </si>
  <si>
    <t>iPhone 13 Pro Max 256GB</t>
  </si>
  <si>
    <t>OnePlus 8T 256GB</t>
  </si>
  <si>
    <t>B09Q1HT5GM</t>
  </si>
  <si>
    <t>Reno7 Pro 5G 256GB</t>
  </si>
  <si>
    <t>B09QLS9KB9</t>
  </si>
  <si>
    <t>Find X5 256GB</t>
  </si>
  <si>
    <t>B09SQB87HR</t>
  </si>
  <si>
    <t>Find X5 Pro 256GB</t>
  </si>
  <si>
    <t>B09TBG1S1Y</t>
  </si>
  <si>
    <t>Galaxy S22 128GB</t>
  </si>
  <si>
    <t>B09V1NGFN4</t>
  </si>
  <si>
    <t>Reno7 5G 256GB</t>
  </si>
  <si>
    <t>B09VCCRQQC</t>
  </si>
  <si>
    <t>Galaxy S22 Ultra 128GB</t>
  </si>
  <si>
    <t>B09VD33WHW</t>
  </si>
  <si>
    <t>Galaxy S22+ 128GB</t>
  </si>
  <si>
    <t>B09VH9BKHS</t>
  </si>
  <si>
    <t>Galaxy S22 256GB</t>
  </si>
  <si>
    <t>B09VX9S6F9</t>
  </si>
  <si>
    <t>OnePlus Nord 2T 128GB</t>
  </si>
  <si>
    <t>B09WVJ6125</t>
  </si>
  <si>
    <t>Reno8 5G 128GB</t>
  </si>
  <si>
    <t>B0B352LM95</t>
  </si>
  <si>
    <t>Galaxy Xcover 5 64GB</t>
  </si>
  <si>
    <t>B0B457HRNJ</t>
  </si>
  <si>
    <t>Galaxy S22 Ultra 256GB</t>
  </si>
  <si>
    <t>B0B5Y5H47D</t>
  </si>
  <si>
    <t>Galaxy S22+ 256GB</t>
  </si>
  <si>
    <t>B0B6D53G2V</t>
  </si>
  <si>
    <t>Reno8 Pro 5G 256GB</t>
  </si>
  <si>
    <t>B0B88S72TV</t>
  </si>
  <si>
    <t>OnePlus 10 Pro 256GB</t>
  </si>
  <si>
    <t>B0B981KM58</t>
  </si>
  <si>
    <t>Galaxy Z Fold 4 256GB</t>
  </si>
  <si>
    <t>B0BD1P1396</t>
  </si>
  <si>
    <t>Reno8 5G 256GB</t>
  </si>
  <si>
    <t>B0BDT28R8B</t>
  </si>
  <si>
    <t>Reno7 5G 128GB</t>
  </si>
  <si>
    <t>B0BKRQKPZW</t>
  </si>
  <si>
    <t>Galaxy Z Fold 4 512GB</t>
  </si>
  <si>
    <t>B0BKTHWNV7</t>
  </si>
  <si>
    <t>Galaxy Z Flip 4 256GB</t>
  </si>
  <si>
    <t>B0BKTLMV59</t>
  </si>
  <si>
    <t>Galaxy Z Flip 4 512GB</t>
  </si>
  <si>
    <t>B0BKTLR7VR</t>
  </si>
  <si>
    <t>iPhone 14 128GB</t>
  </si>
  <si>
    <t>B0BN72FYFG</t>
  </si>
  <si>
    <t>iPhone 14 256GB</t>
  </si>
  <si>
    <t>B0BN72MLT2</t>
  </si>
  <si>
    <t>iPhone 14 512GB</t>
  </si>
  <si>
    <t>B0BN7CXGWG</t>
  </si>
  <si>
    <t>iPhone 14 Pro Max 256GB</t>
  </si>
  <si>
    <t>B0BN93P98N</t>
  </si>
  <si>
    <t>iPhone 14 Plus 128GB</t>
  </si>
  <si>
    <t>B0BN9426PP</t>
  </si>
  <si>
    <t>iPhone 14 Pro Max 128GB</t>
  </si>
  <si>
    <t>B0BN94DL3R</t>
  </si>
  <si>
    <t>iPhone 14 Plus 256GB</t>
  </si>
  <si>
    <t>B0BN94GXPV</t>
  </si>
  <si>
    <t>iPhone 14 Pro Max 512GB</t>
  </si>
  <si>
    <t>B0BN952L3Y</t>
  </si>
  <si>
    <t>iPhone 14 Pro 128GB</t>
  </si>
  <si>
    <t>B0BN95FRW9</t>
  </si>
  <si>
    <t>iPhone 14 Pro 256GB</t>
  </si>
  <si>
    <t>B0BN96CCM6</t>
  </si>
  <si>
    <t>iPhone 14 Pro 512GB</t>
  </si>
  <si>
    <t>B0BN96QJ94</t>
  </si>
  <si>
    <t>iPhone 14 Plus 512GB</t>
  </si>
  <si>
    <t>B0BN97HDLB</t>
  </si>
  <si>
    <t>OnePlus 11 256GB</t>
  </si>
  <si>
    <t>B0BNWPSCGB</t>
  </si>
  <si>
    <t>Galaxy Xcover 6 Pro 128GB</t>
  </si>
  <si>
    <t>B0BSCHC7TS</t>
  </si>
  <si>
    <t>Galaxy A04 64GB</t>
  </si>
  <si>
    <t>B0BV4N3VJZ</t>
  </si>
  <si>
    <t>Galaxy A34 256GB</t>
  </si>
  <si>
    <t>B0BWS9YGRL</t>
  </si>
  <si>
    <t>OnePlus Nord CE 3 Lite 256GB</t>
  </si>
  <si>
    <t>B0C1761WGM</t>
  </si>
  <si>
    <t>Galaxy A24 128GB</t>
  </si>
  <si>
    <t>B0C3RYM3GG</t>
  </si>
  <si>
    <t>Galaxy A54 128GB</t>
  </si>
  <si>
    <t>B0C4BFVH4W</t>
  </si>
  <si>
    <t>Galaxy S23+ 256GB</t>
  </si>
  <si>
    <t>B0C4Q796XC</t>
  </si>
  <si>
    <t>Galaxy S23 Ultra 256GB</t>
  </si>
  <si>
    <t>B0C5443MCX</t>
  </si>
  <si>
    <t>Galaxy S23 128GB</t>
  </si>
  <si>
    <t>B0C5B736X3</t>
  </si>
  <si>
    <t>Galaxy A54 256GB</t>
  </si>
  <si>
    <t>B0C63HBWD2</t>
  </si>
  <si>
    <t>Galaxy S23 256GB</t>
  </si>
  <si>
    <t>B0C79RKMYB</t>
  </si>
  <si>
    <t>OnePlus 10T 5G 256GB</t>
  </si>
  <si>
    <t>B0CBL8D3Y3</t>
  </si>
  <si>
    <t>Reno10 5G 256GB</t>
  </si>
  <si>
    <t>B0CCK1Z3H1</t>
  </si>
  <si>
    <t>Reno10 Pro 5G 256GB</t>
  </si>
  <si>
    <t>B0CDMXJ7N6</t>
  </si>
  <si>
    <t>Galaxy Z Flip 5 512GB</t>
  </si>
  <si>
    <t>B0CK5T84WJ</t>
  </si>
  <si>
    <t>Galaxy Z Fold 5 512GB</t>
  </si>
  <si>
    <t>B0CK5V7MWK</t>
  </si>
  <si>
    <t>OnePlus Nord N30 5G 128GB</t>
  </si>
  <si>
    <t>B0CKLVTDWN</t>
  </si>
  <si>
    <t>Galaxy S24 128GB</t>
  </si>
  <si>
    <t>B0CMDRCZBJ</t>
  </si>
  <si>
    <t>Galaxy S24 256GB</t>
  </si>
  <si>
    <t>B0CMDTFNGM</t>
  </si>
  <si>
    <t>iPhone 15 256GB</t>
  </si>
  <si>
    <t>B0CMPLKVDB</t>
  </si>
  <si>
    <t>iPhone 15 512GB</t>
  </si>
  <si>
    <t>B0CMPLZ5SW</t>
  </si>
  <si>
    <t>iPhone 15 128GB</t>
  </si>
  <si>
    <t>B0CMPMY9ZZ</t>
  </si>
  <si>
    <t>iPhone 15 Plus 512GB</t>
  </si>
  <si>
    <t>B0CMSN4YJD</t>
  </si>
  <si>
    <t>iPhone 15 Plus 256GB</t>
  </si>
  <si>
    <t>B0CMT3P49Q</t>
  </si>
  <si>
    <t>iPhone 15 Plus 128GB</t>
  </si>
  <si>
    <t>B0CMT4XDSC</t>
  </si>
  <si>
    <t>iPhone 15 Pro 512GB</t>
  </si>
  <si>
    <t>B0CMZ42W2C</t>
  </si>
  <si>
    <t>iPhone 15 Pro Max 512GB</t>
  </si>
  <si>
    <t>B0CMZ46PHR</t>
  </si>
  <si>
    <t>iPhone 15 Pro Max 256GB</t>
  </si>
  <si>
    <t>B0CMZDBVWT</t>
  </si>
  <si>
    <t>iPhone 15 Pro 128GB</t>
  </si>
  <si>
    <t>B0CMZG4M6H</t>
  </si>
  <si>
    <t>iPhone 15 Pro 256GB</t>
  </si>
  <si>
    <t>B0CMZL2TJ9</t>
  </si>
  <si>
    <t>Galaxy Z Flip 5 256GB</t>
  </si>
  <si>
    <t>B0CN556RQ4</t>
  </si>
  <si>
    <t>OnePlus 12R 256GB</t>
  </si>
  <si>
    <t>B0CQ9SZJN6</t>
  </si>
  <si>
    <t>Reno11 Pro 512GB</t>
  </si>
  <si>
    <t>B0CRHQ1KQT</t>
  </si>
  <si>
    <t>Reno11 F 256GB</t>
  </si>
  <si>
    <t>B0CXPY8MGJ</t>
  </si>
  <si>
    <t>A60 256GB</t>
  </si>
  <si>
    <t>B0D2DQZPQF</t>
  </si>
  <si>
    <t>OnePlus 12 256GB</t>
  </si>
  <si>
    <t>B0D2R8LMMK</t>
  </si>
  <si>
    <t>Galaxy S24 Ultra 256GB</t>
  </si>
  <si>
    <t>B0D362HGNP</t>
  </si>
  <si>
    <t>iPhone X 64GB</t>
  </si>
  <si>
    <t>B0D3F7T32Z</t>
  </si>
  <si>
    <t>Galaxy S24+ 256GB</t>
  </si>
  <si>
    <t>B0D54S3L3M</t>
  </si>
  <si>
    <t>Reno12 256GB</t>
  </si>
  <si>
    <t>B0D5DDTWZ3</t>
  </si>
  <si>
    <t>Reno12 Pro 512GB</t>
  </si>
  <si>
    <t>B0D5DGB6N3</t>
  </si>
  <si>
    <t>Reno12 F 4G 256GB</t>
  </si>
  <si>
    <t>B0DDL4FGV6</t>
  </si>
  <si>
    <t>A80 256GB</t>
  </si>
  <si>
    <t>B0DF8331S3</t>
  </si>
  <si>
    <t>Galaxy Z Fold 5 256GB</t>
  </si>
  <si>
    <t>B0DFRV7D6Y</t>
  </si>
  <si>
    <t>iPhone 16 256GB</t>
  </si>
  <si>
    <t>B0DHJ2KF9X</t>
  </si>
  <si>
    <t>iPhone 16 Pro 512GB</t>
  </si>
  <si>
    <t>B0DHJ2MKQM</t>
  </si>
  <si>
    <t>iPhone 16 Plus 512GB</t>
  </si>
  <si>
    <t>B0DHJ2PVBJ</t>
  </si>
  <si>
    <t>iPhone 16 Plus 256GB</t>
  </si>
  <si>
    <t>B0DHJ2VZTJ</t>
  </si>
  <si>
    <t>iPhone 16 Pro Max 256GB</t>
  </si>
  <si>
    <t>B0DHJ896RY</t>
  </si>
  <si>
    <t>iPhone 16 Plus 128GB</t>
  </si>
  <si>
    <t>B0DHJCTZ4D</t>
  </si>
  <si>
    <t>iPhone 16 Pro 256GB</t>
  </si>
  <si>
    <t>B0DHJDPYYR</t>
  </si>
  <si>
    <t>iPhone 16 Pro 128GB</t>
  </si>
  <si>
    <t>B0DHJG6JPH</t>
  </si>
  <si>
    <t>iPhone 16 128GB</t>
  </si>
  <si>
    <t>B0DHJGKNT1</t>
  </si>
  <si>
    <t>iPhone 16 512GB</t>
  </si>
  <si>
    <t>B0DHJGLSFT</t>
  </si>
  <si>
    <t>Find X8 Pro 512GB</t>
  </si>
  <si>
    <t>B0DMP26WK7</t>
  </si>
  <si>
    <t>iPhone 16 Pro Max 512GB</t>
  </si>
  <si>
    <t>B0DPDJ2DK8</t>
  </si>
  <si>
    <t>Reno13 F 4G 256GB</t>
  </si>
  <si>
    <t>B0DVCJX284</t>
  </si>
  <si>
    <t>Reno13 256GB</t>
  </si>
  <si>
    <t>B0DVCKXSNK</t>
  </si>
  <si>
    <t>Reno13 Pro 512GB</t>
  </si>
  <si>
    <t>B0DVCNM737</t>
  </si>
  <si>
    <t>A60 128GB</t>
  </si>
  <si>
    <t>B0DYF5HMYX</t>
  </si>
  <si>
    <t>Base Year</t>
  </si>
  <si>
    <t>Current Year</t>
  </si>
  <si>
    <t>Period</t>
  </si>
  <si>
    <t>Jevons Index</t>
  </si>
  <si>
    <t>Number of Products</t>
  </si>
  <si>
    <t>Price Change (%)</t>
  </si>
  <si>
    <t>2020</t>
  </si>
  <si>
    <t>2021</t>
  </si>
  <si>
    <t>2020 → 2021</t>
  </si>
  <si>
    <t>2022</t>
  </si>
  <si>
    <t>2021 → 2022</t>
  </si>
  <si>
    <t>2023</t>
  </si>
  <si>
    <t>2022 → 2023</t>
  </si>
  <si>
    <t>2024</t>
  </si>
  <si>
    <t>2023 → 2024</t>
  </si>
  <si>
    <t>2025</t>
  </si>
  <si>
    <t>2024 → 2025</t>
  </si>
  <si>
    <t>Metric</t>
  </si>
  <si>
    <t>Value</t>
  </si>
  <si>
    <t>Total Products</t>
  </si>
  <si>
    <t>Products with Lifecycle Info</t>
  </si>
  <si>
    <t>Adjacent Year Comparisons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</si>
</sst>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3"/>
  <sheetViews>
    <sheetView topLeftCell="A4" workbookViewId="0">
      <selection activeCell="A1" sqref="A1"/>
    </sheetView>
  </sheetViews>
  <sheetFormatPr defaultColWidth="9" defaultRowHeight="16.8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12</v>
      </c>
      <c r="E2">
        <v>610.901598882689</v>
      </c>
      <c r="F2">
        <v>512.112828780255</v>
      </c>
      <c r="G2">
        <v>562.493321162271</v>
      </c>
      <c r="H2">
        <v>483.059284022839</v>
      </c>
      <c r="I2">
        <v>358.466557519132</v>
      </c>
      <c r="J2">
        <v>299.796826110872</v>
      </c>
    </row>
    <row r="3" spans="1:10">
      <c r="A3" t="s">
        <v>10</v>
      </c>
      <c r="B3" t="s">
        <v>13</v>
      </c>
      <c r="C3" t="s">
        <v>14</v>
      </c>
      <c r="D3" t="s">
        <v>14</v>
      </c>
      <c r="E3">
        <v>610.901598882689</v>
      </c>
      <c r="F3">
        <v>512.112828780255</v>
      </c>
      <c r="G3">
        <v>562.493321162271</v>
      </c>
      <c r="H3">
        <v>483.059284022839</v>
      </c>
      <c r="I3">
        <v>358.466557519132</v>
      </c>
      <c r="J3">
        <v>299.796826110872</v>
      </c>
    </row>
    <row r="4" spans="1:10">
      <c r="A4" t="s">
        <v>10</v>
      </c>
      <c r="B4" t="s">
        <v>15</v>
      </c>
      <c r="C4" t="s">
        <v>16</v>
      </c>
      <c r="D4" t="s">
        <v>16</v>
      </c>
      <c r="E4">
        <v>610.901598882689</v>
      </c>
      <c r="F4">
        <v>512.112828780255</v>
      </c>
      <c r="G4">
        <v>562.493321162271</v>
      </c>
      <c r="H4">
        <v>483.059284022839</v>
      </c>
      <c r="I4">
        <v>358.466557519132</v>
      </c>
      <c r="J4">
        <v>299.796826110872</v>
      </c>
    </row>
    <row r="5" spans="1:10">
      <c r="A5" t="s">
        <v>10</v>
      </c>
      <c r="B5" t="s">
        <v>17</v>
      </c>
      <c r="C5" t="s">
        <v>18</v>
      </c>
      <c r="D5" t="s">
        <v>18</v>
      </c>
      <c r="E5">
        <v>589.539576220909</v>
      </c>
      <c r="F5">
        <v>409.116313965967</v>
      </c>
      <c r="G5">
        <v>478.265676643277</v>
      </c>
      <c r="H5">
        <v>385.561780151549</v>
      </c>
      <c r="I5">
        <v>292.544466882139</v>
      </c>
      <c r="J5">
        <v>244.85880857181</v>
      </c>
    </row>
    <row r="6" spans="1:10">
      <c r="A6" t="s">
        <v>10</v>
      </c>
      <c r="B6" t="s">
        <v>19</v>
      </c>
      <c r="C6" t="s">
        <v>20</v>
      </c>
      <c r="D6" t="s">
        <v>20</v>
      </c>
      <c r="E6">
        <v>589.539576220909</v>
      </c>
      <c r="F6">
        <v>409.116313965967</v>
      </c>
      <c r="G6">
        <v>478.265676643277</v>
      </c>
      <c r="H6">
        <v>385.561780151549</v>
      </c>
      <c r="I6">
        <v>292.544466882139</v>
      </c>
      <c r="J6">
        <v>244.85880857181</v>
      </c>
    </row>
    <row r="7" spans="1:10">
      <c r="A7" t="s">
        <v>10</v>
      </c>
      <c r="B7" t="s">
        <v>21</v>
      </c>
      <c r="C7" t="s">
        <v>22</v>
      </c>
      <c r="D7" t="s">
        <v>22</v>
      </c>
      <c r="E7">
        <v>589.539576220909</v>
      </c>
      <c r="F7">
        <v>409.116313965967</v>
      </c>
      <c r="G7">
        <v>478.265676643277</v>
      </c>
      <c r="H7">
        <v>385.561780151549</v>
      </c>
      <c r="I7">
        <v>292.544466882139</v>
      </c>
      <c r="J7">
        <v>244.85880857181</v>
      </c>
    </row>
    <row r="8" spans="1:10">
      <c r="A8" t="s">
        <v>10</v>
      </c>
      <c r="B8" t="s">
        <v>23</v>
      </c>
      <c r="C8" t="s">
        <v>24</v>
      </c>
      <c r="D8" t="s">
        <v>24</v>
      </c>
      <c r="E8">
        <v>564.431513873071</v>
      </c>
      <c r="F8">
        <v>501.606601791475</v>
      </c>
      <c r="G8">
        <v>512.012338351727</v>
      </c>
      <c r="H8">
        <v>406.221496555437</v>
      </c>
      <c r="I8">
        <v>314.377332248635</v>
      </c>
      <c r="J8">
        <v>262.665647907016</v>
      </c>
    </row>
    <row r="9" spans="1:10">
      <c r="A9" t="s">
        <v>10</v>
      </c>
      <c r="B9" t="s">
        <v>25</v>
      </c>
      <c r="C9" t="s">
        <v>26</v>
      </c>
      <c r="D9" t="s">
        <v>26</v>
      </c>
      <c r="E9">
        <v>564.431513873071</v>
      </c>
      <c r="F9">
        <v>501.606601791475</v>
      </c>
      <c r="G9">
        <v>512.012338351727</v>
      </c>
      <c r="H9">
        <v>406.221496555437</v>
      </c>
      <c r="I9">
        <v>314.377332248635</v>
      </c>
      <c r="J9">
        <v>262.665647907016</v>
      </c>
    </row>
    <row r="10" spans="1:10">
      <c r="A10" t="s">
        <v>27</v>
      </c>
      <c r="B10" t="s">
        <v>28</v>
      </c>
      <c r="C10" t="s">
        <v>29</v>
      </c>
      <c r="D10" t="s">
        <v>29</v>
      </c>
      <c r="E10">
        <v>631.17638241193</v>
      </c>
      <c r="F10">
        <v>245.643304852398</v>
      </c>
      <c r="G10">
        <v>335.00211151593</v>
      </c>
      <c r="H10">
        <v>285.113720157806</v>
      </c>
      <c r="I10">
        <v>233.599471340747</v>
      </c>
      <c r="J10">
        <v>229.832799922845</v>
      </c>
    </row>
    <row r="11" spans="1:10">
      <c r="A11" t="s">
        <v>27</v>
      </c>
      <c r="B11" t="s">
        <v>30</v>
      </c>
      <c r="C11" t="s">
        <v>31</v>
      </c>
      <c r="D11" t="s">
        <v>31</v>
      </c>
      <c r="E11">
        <v>708.456011688153</v>
      </c>
      <c r="F11">
        <v>509.571111365087</v>
      </c>
      <c r="G11">
        <v>620.131385629642</v>
      </c>
      <c r="H11">
        <v>578.495272787145</v>
      </c>
      <c r="I11">
        <v>482.25402750888</v>
      </c>
      <c r="J11">
        <v>459.34723866032</v>
      </c>
    </row>
    <row r="12" spans="1:10">
      <c r="A12" t="s">
        <v>10</v>
      </c>
      <c r="B12" t="s">
        <v>32</v>
      </c>
      <c r="C12" t="s">
        <v>33</v>
      </c>
      <c r="D12" t="s">
        <v>33</v>
      </c>
      <c r="E12">
        <v>602.747951464572</v>
      </c>
      <c r="F12">
        <v>590.525541155958</v>
      </c>
      <c r="G12">
        <v>566.036175655549</v>
      </c>
      <c r="H12">
        <v>485.021117104014</v>
      </c>
      <c r="I12">
        <v>379.623900873136</v>
      </c>
      <c r="J12">
        <v>311.507474167881</v>
      </c>
    </row>
    <row r="13" spans="1:10">
      <c r="A13" t="s">
        <v>10</v>
      </c>
      <c r="B13" t="s">
        <v>34</v>
      </c>
      <c r="C13" t="s">
        <v>35</v>
      </c>
      <c r="D13" t="s">
        <v>35</v>
      </c>
      <c r="E13">
        <v>602.747951464572</v>
      </c>
      <c r="F13">
        <v>590.525541155958</v>
      </c>
      <c r="G13">
        <v>566.036175655549</v>
      </c>
      <c r="H13">
        <v>485.021117104014</v>
      </c>
      <c r="I13">
        <v>379.623900873136</v>
      </c>
      <c r="J13">
        <v>311.507474167881</v>
      </c>
    </row>
    <row r="14" spans="1:10">
      <c r="A14" t="s">
        <v>10</v>
      </c>
      <c r="B14" t="s">
        <v>36</v>
      </c>
      <c r="C14" t="s">
        <v>37</v>
      </c>
      <c r="D14" t="s">
        <v>37</v>
      </c>
      <c r="E14">
        <v>923.890904740139</v>
      </c>
      <c r="F14">
        <v>789.799131577143</v>
      </c>
      <c r="G14">
        <v>565.904870547414</v>
      </c>
      <c r="H14">
        <v>408.875444796193</v>
      </c>
      <c r="I14">
        <v>314.140645761395</v>
      </c>
      <c r="J14">
        <v>270.12597962066</v>
      </c>
    </row>
    <row r="15" spans="1:10">
      <c r="A15" t="s">
        <v>10</v>
      </c>
      <c r="B15" t="s">
        <v>38</v>
      </c>
      <c r="C15" t="s">
        <v>39</v>
      </c>
      <c r="D15" t="s">
        <v>39</v>
      </c>
      <c r="E15">
        <v>602.747951464572</v>
      </c>
      <c r="F15">
        <v>590.525541155958</v>
      </c>
      <c r="G15">
        <v>566.036175655549</v>
      </c>
      <c r="H15">
        <v>485.021117104014</v>
      </c>
      <c r="I15">
        <v>379.623900873136</v>
      </c>
      <c r="J15">
        <v>311.507474167881</v>
      </c>
    </row>
    <row r="16" spans="1:10">
      <c r="A16" t="s">
        <v>10</v>
      </c>
      <c r="B16" t="s">
        <v>40</v>
      </c>
      <c r="C16" t="s">
        <v>41</v>
      </c>
      <c r="D16" t="s">
        <v>41</v>
      </c>
      <c r="E16">
        <v>923.890904740139</v>
      </c>
      <c r="F16">
        <v>789.799131577143</v>
      </c>
      <c r="G16">
        <v>565.904870547414</v>
      </c>
      <c r="H16">
        <v>408.875444796193</v>
      </c>
      <c r="I16">
        <v>314.140645761395</v>
      </c>
      <c r="J16">
        <v>270.12597962066</v>
      </c>
    </row>
    <row r="17" spans="1:10">
      <c r="A17" t="s">
        <v>10</v>
      </c>
      <c r="B17" t="s">
        <v>42</v>
      </c>
      <c r="C17" t="s">
        <v>43</v>
      </c>
      <c r="D17" t="s">
        <v>43</v>
      </c>
      <c r="E17">
        <v>1057.73743410187</v>
      </c>
      <c r="F17">
        <v>817.37625227732</v>
      </c>
      <c r="G17">
        <v>663.986707298335</v>
      </c>
      <c r="H17">
        <v>499.205987999228</v>
      </c>
      <c r="I17">
        <v>380.335045225916</v>
      </c>
      <c r="J17">
        <v>325.406743613818</v>
      </c>
    </row>
    <row r="18" spans="1:10">
      <c r="A18" t="s">
        <v>10</v>
      </c>
      <c r="B18" t="s">
        <v>44</v>
      </c>
      <c r="C18" t="s">
        <v>45</v>
      </c>
      <c r="D18" t="s">
        <v>45</v>
      </c>
      <c r="E18">
        <v>1057.73743410187</v>
      </c>
      <c r="F18">
        <v>817.37625227732</v>
      </c>
      <c r="G18">
        <v>663.986707298335</v>
      </c>
      <c r="H18">
        <v>499.205987999228</v>
      </c>
      <c r="I18">
        <v>380.335045225916</v>
      </c>
      <c r="J18">
        <v>325.406743613818</v>
      </c>
    </row>
    <row r="19" spans="1:10">
      <c r="A19" t="s">
        <v>10</v>
      </c>
      <c r="B19" t="s">
        <v>46</v>
      </c>
      <c r="C19" t="s">
        <v>47</v>
      </c>
      <c r="D19" t="s">
        <v>47</v>
      </c>
      <c r="E19">
        <v>923.890904740139</v>
      </c>
      <c r="F19">
        <v>789.799131577143</v>
      </c>
      <c r="G19">
        <v>565.904870547414</v>
      </c>
      <c r="H19">
        <v>408.875444796193</v>
      </c>
      <c r="I19">
        <v>314.140645761395</v>
      </c>
      <c r="J19">
        <v>270.12597962066</v>
      </c>
    </row>
    <row r="20" spans="1:10">
      <c r="A20" t="s">
        <v>10</v>
      </c>
      <c r="B20" t="s">
        <v>48</v>
      </c>
      <c r="C20" t="s">
        <v>49</v>
      </c>
      <c r="D20" t="s">
        <v>49</v>
      </c>
      <c r="E20">
        <v>1057.73743410187</v>
      </c>
      <c r="F20">
        <v>817.37625227732</v>
      </c>
      <c r="G20">
        <v>663.986707298335</v>
      </c>
      <c r="H20">
        <v>499.205987999228</v>
      </c>
      <c r="I20">
        <v>380.335045225916</v>
      </c>
      <c r="J20">
        <v>325.406743613818</v>
      </c>
    </row>
    <row r="21" spans="1:10">
      <c r="A21" t="s">
        <v>50</v>
      </c>
      <c r="B21" t="s">
        <v>51</v>
      </c>
      <c r="C21" t="s">
        <v>52</v>
      </c>
      <c r="D21" t="s">
        <v>52</v>
      </c>
      <c r="E21" t="s">
        <v>53</v>
      </c>
      <c r="F21" t="s">
        <v>53</v>
      </c>
      <c r="G21">
        <v>435.490644986857</v>
      </c>
      <c r="H21">
        <v>494.338844838977</v>
      </c>
      <c r="I21">
        <v>444.510958219235</v>
      </c>
      <c r="J21">
        <v>412.214699803447</v>
      </c>
    </row>
    <row r="22" spans="1:10">
      <c r="A22" t="s">
        <v>27</v>
      </c>
      <c r="B22" t="s">
        <v>54</v>
      </c>
      <c r="C22" t="s">
        <v>55</v>
      </c>
      <c r="D22" t="s">
        <v>55</v>
      </c>
      <c r="E22">
        <v>708.456011688153</v>
      </c>
      <c r="F22">
        <v>509.571111365087</v>
      </c>
      <c r="G22">
        <v>620.131385629642</v>
      </c>
      <c r="H22">
        <v>578.495272787145</v>
      </c>
      <c r="I22">
        <v>482.25402750888</v>
      </c>
      <c r="J22">
        <v>459.34723866032</v>
      </c>
    </row>
    <row r="23" spans="1:10">
      <c r="A23" t="s">
        <v>10</v>
      </c>
      <c r="B23" t="s">
        <v>56</v>
      </c>
      <c r="C23" t="s">
        <v>57</v>
      </c>
      <c r="D23" t="s">
        <v>57</v>
      </c>
      <c r="E23">
        <v>564.431513873071</v>
      </c>
      <c r="F23">
        <v>501.606601791475</v>
      </c>
      <c r="G23">
        <v>512.012338351727</v>
      </c>
      <c r="H23">
        <v>406.221496555437</v>
      </c>
      <c r="I23">
        <v>314.377332248635</v>
      </c>
      <c r="J23">
        <v>262.665647907016</v>
      </c>
    </row>
    <row r="24" spans="1:10">
      <c r="A24" t="s">
        <v>58</v>
      </c>
      <c r="B24" t="s">
        <v>59</v>
      </c>
      <c r="C24" t="s">
        <v>60</v>
      </c>
      <c r="D24" t="s">
        <v>60</v>
      </c>
      <c r="E24">
        <v>705.222080679534</v>
      </c>
      <c r="F24">
        <v>527.541288065614</v>
      </c>
      <c r="G24">
        <v>628.042891633578</v>
      </c>
      <c r="H24">
        <v>681.390765475616</v>
      </c>
      <c r="I24">
        <v>567.22455157444</v>
      </c>
      <c r="J24">
        <v>513.054891165871</v>
      </c>
    </row>
    <row r="25" spans="1:10">
      <c r="A25" t="s">
        <v>58</v>
      </c>
      <c r="B25" t="s">
        <v>61</v>
      </c>
      <c r="C25" t="s">
        <v>62</v>
      </c>
      <c r="D25" t="s">
        <v>62</v>
      </c>
      <c r="E25">
        <v>752.407398650955</v>
      </c>
      <c r="F25">
        <v>754.770350553111</v>
      </c>
      <c r="G25">
        <v>676.891280949742</v>
      </c>
      <c r="H25">
        <v>669.57455506646</v>
      </c>
      <c r="I25">
        <v>593.949386967724</v>
      </c>
      <c r="J25">
        <v>554.480024890685</v>
      </c>
    </row>
    <row r="26" spans="1:10">
      <c r="A26" t="s">
        <v>27</v>
      </c>
      <c r="B26" t="s">
        <v>63</v>
      </c>
      <c r="C26" t="s">
        <v>64</v>
      </c>
      <c r="D26" t="s">
        <v>64</v>
      </c>
      <c r="E26">
        <v>799.581529537376</v>
      </c>
      <c r="F26">
        <v>867.531268338302</v>
      </c>
      <c r="G26">
        <v>694.159143933738</v>
      </c>
      <c r="H26">
        <v>664.452044273532</v>
      </c>
      <c r="I26">
        <v>601.760681987926</v>
      </c>
      <c r="J26">
        <v>569.358649633065</v>
      </c>
    </row>
    <row r="27" spans="1:10">
      <c r="A27" t="s">
        <v>10</v>
      </c>
      <c r="B27" t="s">
        <v>65</v>
      </c>
      <c r="C27" t="s">
        <v>66</v>
      </c>
      <c r="D27" t="s">
        <v>66</v>
      </c>
      <c r="E27">
        <v>1019.84767734083</v>
      </c>
      <c r="F27">
        <v>1124.09727571088</v>
      </c>
      <c r="G27">
        <v>808.969366540558</v>
      </c>
      <c r="H27">
        <v>676.92130086858</v>
      </c>
      <c r="I27">
        <v>493.548608514213</v>
      </c>
      <c r="J27">
        <v>418.350110125699</v>
      </c>
    </row>
    <row r="28" spans="1:10">
      <c r="A28" t="s">
        <v>10</v>
      </c>
      <c r="B28" t="s">
        <v>67</v>
      </c>
      <c r="C28" t="s">
        <v>68</v>
      </c>
      <c r="D28" t="s">
        <v>68</v>
      </c>
      <c r="E28">
        <v>1019.84767734083</v>
      </c>
      <c r="F28">
        <v>1124.09727571088</v>
      </c>
      <c r="G28">
        <v>808.969366540558</v>
      </c>
      <c r="H28">
        <v>676.92130086858</v>
      </c>
      <c r="I28">
        <v>493.548608514213</v>
      </c>
      <c r="J28">
        <v>418.350110125699</v>
      </c>
    </row>
    <row r="29" spans="1:10">
      <c r="A29" t="s">
        <v>10</v>
      </c>
      <c r="B29" t="s">
        <v>69</v>
      </c>
      <c r="C29" t="s">
        <v>70</v>
      </c>
      <c r="D29" t="s">
        <v>70</v>
      </c>
      <c r="E29">
        <v>1019.84767734083</v>
      </c>
      <c r="F29">
        <v>1124.09727571088</v>
      </c>
      <c r="G29">
        <v>808.969366540558</v>
      </c>
      <c r="H29">
        <v>676.92130086858</v>
      </c>
      <c r="I29">
        <v>493.548608514213</v>
      </c>
      <c r="J29">
        <v>418.350110125699</v>
      </c>
    </row>
    <row r="30" spans="1:10">
      <c r="A30" t="s">
        <v>10</v>
      </c>
      <c r="B30" t="s">
        <v>71</v>
      </c>
      <c r="C30" t="s">
        <v>72</v>
      </c>
      <c r="D30" t="s">
        <v>72</v>
      </c>
      <c r="E30">
        <v>896.48773083322</v>
      </c>
      <c r="F30">
        <v>1190.06680373401</v>
      </c>
      <c r="G30">
        <v>694.555023959429</v>
      </c>
      <c r="H30">
        <v>556.822916652002</v>
      </c>
      <c r="I30">
        <v>409.903655408672</v>
      </c>
      <c r="J30">
        <v>352.837812729959</v>
      </c>
    </row>
    <row r="31" spans="1:10">
      <c r="A31" t="s">
        <v>10</v>
      </c>
      <c r="B31" t="s">
        <v>73</v>
      </c>
      <c r="C31" t="s">
        <v>74</v>
      </c>
      <c r="D31" t="s">
        <v>74</v>
      </c>
      <c r="E31">
        <v>896.48773083322</v>
      </c>
      <c r="F31">
        <v>1190.06680373401</v>
      </c>
      <c r="G31">
        <v>694.555023959429</v>
      </c>
      <c r="H31">
        <v>556.822916652002</v>
      </c>
      <c r="I31">
        <v>409.903655408672</v>
      </c>
      <c r="J31">
        <v>352.837812729959</v>
      </c>
    </row>
    <row r="32" spans="1:10">
      <c r="A32" t="s">
        <v>10</v>
      </c>
      <c r="B32" t="s">
        <v>75</v>
      </c>
      <c r="C32" t="s">
        <v>76</v>
      </c>
      <c r="D32" t="s">
        <v>76</v>
      </c>
      <c r="E32">
        <v>896.48773083322</v>
      </c>
      <c r="F32">
        <v>1190.06680373401</v>
      </c>
      <c r="G32">
        <v>694.555023959429</v>
      </c>
      <c r="H32">
        <v>556.822916652002</v>
      </c>
      <c r="I32">
        <v>409.903655408672</v>
      </c>
      <c r="J32">
        <v>352.837812729959</v>
      </c>
    </row>
    <row r="33" spans="1:10">
      <c r="A33" t="s">
        <v>10</v>
      </c>
      <c r="B33" t="s">
        <v>77</v>
      </c>
      <c r="C33" t="s">
        <v>78</v>
      </c>
      <c r="D33" t="s">
        <v>78</v>
      </c>
      <c r="E33">
        <v>339.105247446889</v>
      </c>
      <c r="F33">
        <v>576.112811380555</v>
      </c>
      <c r="G33">
        <v>474.581886265722</v>
      </c>
      <c r="H33">
        <v>415.491170966027</v>
      </c>
      <c r="I33">
        <v>356.57154505507</v>
      </c>
      <c r="J33">
        <v>289.236014930408</v>
      </c>
    </row>
    <row r="34" spans="1:10">
      <c r="A34" t="s">
        <v>10</v>
      </c>
      <c r="B34" t="s">
        <v>79</v>
      </c>
      <c r="C34" t="s">
        <v>80</v>
      </c>
      <c r="D34" t="s">
        <v>80</v>
      </c>
      <c r="E34">
        <v>573.573725672977</v>
      </c>
      <c r="F34">
        <v>908.903983918564</v>
      </c>
      <c r="G34">
        <v>533.264551288146</v>
      </c>
      <c r="H34">
        <v>433.195532397399</v>
      </c>
      <c r="I34">
        <v>346.119357380959</v>
      </c>
      <c r="J34">
        <v>299.558308762309</v>
      </c>
    </row>
    <row r="35" spans="1:10">
      <c r="A35" t="s">
        <v>10</v>
      </c>
      <c r="B35" t="s">
        <v>81</v>
      </c>
      <c r="C35" t="s">
        <v>82</v>
      </c>
      <c r="D35" t="s">
        <v>82</v>
      </c>
      <c r="E35">
        <v>573.573725672977</v>
      </c>
      <c r="F35">
        <v>908.903983918564</v>
      </c>
      <c r="G35">
        <v>533.264551288146</v>
      </c>
      <c r="H35">
        <v>433.195532397399</v>
      </c>
      <c r="I35">
        <v>346.119357380959</v>
      </c>
      <c r="J35">
        <v>299.558308762309</v>
      </c>
    </row>
    <row r="36" spans="1:10">
      <c r="A36" t="s">
        <v>10</v>
      </c>
      <c r="B36" t="s">
        <v>83</v>
      </c>
      <c r="C36" t="s">
        <v>84</v>
      </c>
      <c r="D36" t="s">
        <v>84</v>
      </c>
      <c r="E36">
        <v>573.573725672977</v>
      </c>
      <c r="F36">
        <v>908.903983918564</v>
      </c>
      <c r="G36">
        <v>533.264551288146</v>
      </c>
      <c r="H36">
        <v>433.195532397399</v>
      </c>
      <c r="I36">
        <v>346.119357380959</v>
      </c>
      <c r="J36">
        <v>299.558308762309</v>
      </c>
    </row>
    <row r="37" spans="1:10">
      <c r="A37" t="s">
        <v>10</v>
      </c>
      <c r="B37" t="s">
        <v>85</v>
      </c>
      <c r="C37" t="s">
        <v>86</v>
      </c>
      <c r="D37" t="s">
        <v>86</v>
      </c>
      <c r="E37">
        <v>339.105247446889</v>
      </c>
      <c r="F37">
        <v>576.112811380555</v>
      </c>
      <c r="G37">
        <v>474.581886265722</v>
      </c>
      <c r="H37">
        <v>415.491170966027</v>
      </c>
      <c r="I37">
        <v>356.57154505507</v>
      </c>
      <c r="J37">
        <v>289.236014930408</v>
      </c>
    </row>
    <row r="38" spans="1:10">
      <c r="A38" t="s">
        <v>10</v>
      </c>
      <c r="B38" t="s">
        <v>87</v>
      </c>
      <c r="C38" t="s">
        <v>88</v>
      </c>
      <c r="D38" t="s">
        <v>88</v>
      </c>
      <c r="E38">
        <v>339.105247446889</v>
      </c>
      <c r="F38">
        <v>576.112811380555</v>
      </c>
      <c r="G38">
        <v>474.581886265722</v>
      </c>
      <c r="H38">
        <v>415.491170966027</v>
      </c>
      <c r="I38">
        <v>356.57154505507</v>
      </c>
      <c r="J38">
        <v>289.236014930408</v>
      </c>
    </row>
    <row r="39" spans="1:10">
      <c r="A39" t="s">
        <v>58</v>
      </c>
      <c r="B39" t="s">
        <v>89</v>
      </c>
      <c r="C39" t="s">
        <v>90</v>
      </c>
      <c r="D39" t="s">
        <v>90</v>
      </c>
      <c r="E39">
        <v>726.908912922141</v>
      </c>
      <c r="F39">
        <v>441.02135669699</v>
      </c>
      <c r="G39">
        <v>402.04347203881</v>
      </c>
      <c r="H39">
        <v>348.899121699912</v>
      </c>
      <c r="I39">
        <v>314.554326810771</v>
      </c>
      <c r="J39">
        <v>307.481808571945</v>
      </c>
    </row>
    <row r="40" spans="1:10">
      <c r="A40" t="s">
        <v>58</v>
      </c>
      <c r="B40" t="s">
        <v>91</v>
      </c>
      <c r="C40" t="s">
        <v>92</v>
      </c>
      <c r="D40" t="s">
        <v>92</v>
      </c>
      <c r="E40">
        <v>741.059635277659</v>
      </c>
      <c r="F40">
        <v>284.228294917719</v>
      </c>
      <c r="G40">
        <v>444.061378874425</v>
      </c>
      <c r="H40">
        <v>292.182281300366</v>
      </c>
      <c r="I40">
        <v>229.332678704517</v>
      </c>
      <c r="J40">
        <v>213.075509190896</v>
      </c>
    </row>
    <row r="41" spans="1:10">
      <c r="A41" t="s">
        <v>58</v>
      </c>
      <c r="B41" t="s">
        <v>93</v>
      </c>
      <c r="C41" t="s">
        <v>94</v>
      </c>
      <c r="D41" t="s">
        <v>94</v>
      </c>
      <c r="E41">
        <v>751.014541747405</v>
      </c>
      <c r="F41">
        <v>824.887666975174</v>
      </c>
      <c r="G41">
        <v>674.709054546748</v>
      </c>
      <c r="H41">
        <v>649.157164342616</v>
      </c>
      <c r="I41">
        <v>586.599043642751</v>
      </c>
      <c r="J41">
        <v>551.866170173131</v>
      </c>
    </row>
    <row r="42" spans="1:10">
      <c r="A42" t="s">
        <v>58</v>
      </c>
      <c r="B42" t="s">
        <v>95</v>
      </c>
      <c r="C42" t="s">
        <v>96</v>
      </c>
      <c r="D42" t="s">
        <v>96</v>
      </c>
      <c r="E42">
        <v>748.606407547115</v>
      </c>
      <c r="F42">
        <v>453.521601977985</v>
      </c>
      <c r="G42">
        <v>415.858797398032</v>
      </c>
      <c r="H42">
        <v>353.518816887718</v>
      </c>
      <c r="I42">
        <v>324.905126052225</v>
      </c>
      <c r="J42">
        <v>316.976266818111</v>
      </c>
    </row>
    <row r="43" spans="1:10">
      <c r="A43" t="s">
        <v>27</v>
      </c>
      <c r="B43" t="s">
        <v>97</v>
      </c>
      <c r="C43" t="s">
        <v>98</v>
      </c>
      <c r="D43" t="s">
        <v>98</v>
      </c>
      <c r="E43">
        <v>774.332360756624</v>
      </c>
      <c r="F43">
        <v>490.562070460654</v>
      </c>
      <c r="G43">
        <v>413.52694832425</v>
      </c>
      <c r="H43">
        <v>351.013091561883</v>
      </c>
      <c r="I43">
        <v>321.099847943283</v>
      </c>
      <c r="J43">
        <v>317.017239982321</v>
      </c>
    </row>
    <row r="44" spans="1:10">
      <c r="A44" t="s">
        <v>58</v>
      </c>
      <c r="B44" t="s">
        <v>99</v>
      </c>
      <c r="C44" t="s">
        <v>100</v>
      </c>
      <c r="D44" t="s">
        <v>100</v>
      </c>
      <c r="E44" t="s">
        <v>53</v>
      </c>
      <c r="F44">
        <v>600.508352897638</v>
      </c>
      <c r="G44">
        <v>448.63235453796</v>
      </c>
      <c r="H44">
        <v>476.200409699329</v>
      </c>
      <c r="I44">
        <v>450.131648957685</v>
      </c>
      <c r="J44">
        <v>409.254118423639</v>
      </c>
    </row>
    <row r="45" spans="1:10">
      <c r="A45" t="s">
        <v>58</v>
      </c>
      <c r="B45" t="s">
        <v>101</v>
      </c>
      <c r="C45" t="s">
        <v>102</v>
      </c>
      <c r="D45" t="s">
        <v>102</v>
      </c>
      <c r="E45">
        <v>772.758099575842</v>
      </c>
      <c r="F45">
        <v>185.589417995993</v>
      </c>
      <c r="G45">
        <v>196.070200789268</v>
      </c>
      <c r="H45">
        <v>187.515697052213</v>
      </c>
      <c r="I45">
        <v>198.379847471963</v>
      </c>
      <c r="J45">
        <v>206.20475700159</v>
      </c>
    </row>
    <row r="46" spans="1:10">
      <c r="A46" t="s">
        <v>58</v>
      </c>
      <c r="B46" t="s">
        <v>103</v>
      </c>
      <c r="C46" t="s">
        <v>104</v>
      </c>
      <c r="D46" t="s">
        <v>104</v>
      </c>
      <c r="E46">
        <v>771.655848114243</v>
      </c>
      <c r="F46">
        <v>161.408150660939</v>
      </c>
      <c r="G46">
        <v>188.682296260278</v>
      </c>
      <c r="H46">
        <v>160.569130151294</v>
      </c>
      <c r="I46">
        <v>168.125781273544</v>
      </c>
      <c r="J46">
        <v>180.978890516382</v>
      </c>
    </row>
    <row r="47" spans="1:10">
      <c r="A47" t="s">
        <v>10</v>
      </c>
      <c r="B47" t="s">
        <v>105</v>
      </c>
      <c r="C47" t="s">
        <v>106</v>
      </c>
      <c r="D47" t="s">
        <v>106</v>
      </c>
      <c r="E47" t="s">
        <v>53</v>
      </c>
      <c r="F47">
        <v>566.280531245813</v>
      </c>
      <c r="G47">
        <v>491.374481659687</v>
      </c>
      <c r="H47">
        <v>423.390633472418</v>
      </c>
      <c r="I47">
        <v>368.8228512916</v>
      </c>
      <c r="J47">
        <v>297.442118378568</v>
      </c>
    </row>
    <row r="48" spans="1:10">
      <c r="A48" t="s">
        <v>10</v>
      </c>
      <c r="B48" t="s">
        <v>107</v>
      </c>
      <c r="C48" t="s">
        <v>108</v>
      </c>
      <c r="D48" t="s">
        <v>108</v>
      </c>
      <c r="E48" t="s">
        <v>53</v>
      </c>
      <c r="F48">
        <v>566.280531245813</v>
      </c>
      <c r="G48">
        <v>491.374481659687</v>
      </c>
      <c r="H48">
        <v>423.390633472418</v>
      </c>
      <c r="I48">
        <v>368.8228512916</v>
      </c>
      <c r="J48">
        <v>297.442118378568</v>
      </c>
    </row>
    <row r="49" spans="1:10">
      <c r="A49" t="s">
        <v>10</v>
      </c>
      <c r="B49" t="s">
        <v>109</v>
      </c>
      <c r="C49" t="s">
        <v>110</v>
      </c>
      <c r="D49" t="s">
        <v>110</v>
      </c>
      <c r="E49">
        <v>349.297239720233</v>
      </c>
      <c r="F49">
        <v>566.280531245813</v>
      </c>
      <c r="G49">
        <v>491.374481659687</v>
      </c>
      <c r="H49">
        <v>423.390633472418</v>
      </c>
      <c r="I49">
        <v>368.8228512916</v>
      </c>
      <c r="J49">
        <v>297.442118378568</v>
      </c>
    </row>
    <row r="50" spans="1:10">
      <c r="A50" t="s">
        <v>10</v>
      </c>
      <c r="B50" t="s">
        <v>111</v>
      </c>
      <c r="C50" t="s">
        <v>112</v>
      </c>
      <c r="D50" t="s">
        <v>112</v>
      </c>
      <c r="E50" t="s">
        <v>53</v>
      </c>
      <c r="F50">
        <v>879.035137341997</v>
      </c>
      <c r="G50">
        <v>571.933473541034</v>
      </c>
      <c r="H50">
        <v>449.824247262133</v>
      </c>
      <c r="I50">
        <v>370.438531661834</v>
      </c>
      <c r="J50">
        <v>316.923404539106</v>
      </c>
    </row>
    <row r="51" spans="1:10">
      <c r="A51" t="s">
        <v>10</v>
      </c>
      <c r="B51" t="s">
        <v>113</v>
      </c>
      <c r="C51" t="s">
        <v>114</v>
      </c>
      <c r="D51" t="s">
        <v>114</v>
      </c>
      <c r="E51" t="s">
        <v>53</v>
      </c>
      <c r="F51">
        <v>879.035137341997</v>
      </c>
      <c r="G51">
        <v>571.933473541034</v>
      </c>
      <c r="H51">
        <v>449.824247262133</v>
      </c>
      <c r="I51">
        <v>370.438531661834</v>
      </c>
      <c r="J51">
        <v>316.923404539106</v>
      </c>
    </row>
    <row r="52" spans="1:10">
      <c r="A52" t="s">
        <v>10</v>
      </c>
      <c r="B52" t="s">
        <v>115</v>
      </c>
      <c r="C52" t="s">
        <v>116</v>
      </c>
      <c r="D52" t="s">
        <v>116</v>
      </c>
      <c r="E52" t="s">
        <v>53</v>
      </c>
      <c r="F52">
        <v>879.035137341997</v>
      </c>
      <c r="G52">
        <v>571.933473541034</v>
      </c>
      <c r="H52">
        <v>449.824247262133</v>
      </c>
      <c r="I52">
        <v>370.438531661834</v>
      </c>
      <c r="J52">
        <v>316.923404539106</v>
      </c>
    </row>
    <row r="53" spans="1:10">
      <c r="A53" t="s">
        <v>10</v>
      </c>
      <c r="B53" t="s">
        <v>117</v>
      </c>
      <c r="C53" t="s">
        <v>118</v>
      </c>
      <c r="D53" t="s">
        <v>118</v>
      </c>
      <c r="E53" t="s">
        <v>53</v>
      </c>
      <c r="F53">
        <v>1003.15133821387</v>
      </c>
      <c r="G53">
        <v>730.27621642076</v>
      </c>
      <c r="H53">
        <v>589.190098898871</v>
      </c>
      <c r="I53">
        <v>435.794565484517</v>
      </c>
      <c r="J53">
        <v>366.183247294555</v>
      </c>
    </row>
    <row r="54" spans="1:10">
      <c r="A54" t="s">
        <v>10</v>
      </c>
      <c r="B54" t="s">
        <v>119</v>
      </c>
      <c r="C54" t="s">
        <v>120</v>
      </c>
      <c r="D54" t="s">
        <v>121</v>
      </c>
      <c r="E54">
        <v>1117.31404799693</v>
      </c>
      <c r="F54">
        <v>1178.94823656011</v>
      </c>
      <c r="G54">
        <v>900.178031586102</v>
      </c>
      <c r="H54">
        <v>702.905713117047</v>
      </c>
      <c r="I54">
        <v>542.82436482253</v>
      </c>
      <c r="J54">
        <v>456.912295442832</v>
      </c>
    </row>
    <row r="55" spans="1:10">
      <c r="A55" t="s">
        <v>10</v>
      </c>
      <c r="B55" t="s">
        <v>122</v>
      </c>
      <c r="C55" t="s">
        <v>121</v>
      </c>
      <c r="D55" t="s">
        <v>123</v>
      </c>
      <c r="E55" t="s">
        <v>53</v>
      </c>
      <c r="F55">
        <v>1003.15133821387</v>
      </c>
      <c r="G55">
        <v>730.27621642076</v>
      </c>
      <c r="H55">
        <v>589.190098898871</v>
      </c>
      <c r="I55">
        <v>435.794565484517</v>
      </c>
      <c r="J55">
        <v>366.183247294555</v>
      </c>
    </row>
    <row r="56" spans="1:10">
      <c r="A56" t="s">
        <v>10</v>
      </c>
      <c r="B56" t="s">
        <v>124</v>
      </c>
      <c r="C56" t="s">
        <v>125</v>
      </c>
      <c r="D56" t="s">
        <v>120</v>
      </c>
      <c r="E56" t="s">
        <v>53</v>
      </c>
      <c r="F56">
        <v>1178.94823656011</v>
      </c>
      <c r="G56">
        <v>900.178031586102</v>
      </c>
      <c r="H56">
        <v>702.905713117047</v>
      </c>
      <c r="I56">
        <v>542.82436482253</v>
      </c>
      <c r="J56">
        <v>456.912295442832</v>
      </c>
    </row>
    <row r="57" spans="1:10">
      <c r="A57" t="s">
        <v>10</v>
      </c>
      <c r="B57" t="s">
        <v>126</v>
      </c>
      <c r="C57" t="s">
        <v>127</v>
      </c>
      <c r="D57" t="s">
        <v>125</v>
      </c>
      <c r="E57">
        <v>935.205367588053</v>
      </c>
      <c r="F57">
        <v>1003.15133821387</v>
      </c>
      <c r="G57">
        <v>730.27621642076</v>
      </c>
      <c r="H57">
        <v>589.190098898871</v>
      </c>
      <c r="I57">
        <v>435.794565484517</v>
      </c>
      <c r="J57">
        <v>366.183247294555</v>
      </c>
    </row>
    <row r="58" spans="1:10">
      <c r="A58" t="s">
        <v>10</v>
      </c>
      <c r="B58" t="s">
        <v>128</v>
      </c>
      <c r="C58" t="s">
        <v>123</v>
      </c>
      <c r="D58" t="s">
        <v>127</v>
      </c>
      <c r="E58">
        <v>1117.31404799693</v>
      </c>
      <c r="F58">
        <v>1178.94823656011</v>
      </c>
      <c r="G58">
        <v>900.178031586102</v>
      </c>
      <c r="H58">
        <v>702.905713117047</v>
      </c>
      <c r="I58">
        <v>542.82436482253</v>
      </c>
      <c r="J58">
        <v>456.912295442832</v>
      </c>
    </row>
    <row r="59" spans="1:10">
      <c r="A59" t="s">
        <v>58</v>
      </c>
      <c r="B59" t="s">
        <v>129</v>
      </c>
      <c r="C59" t="s">
        <v>130</v>
      </c>
      <c r="D59" t="s">
        <v>130</v>
      </c>
      <c r="E59" t="s">
        <v>53</v>
      </c>
      <c r="F59">
        <v>802.631161376356</v>
      </c>
      <c r="G59">
        <v>672.300621247467</v>
      </c>
      <c r="H59">
        <v>630.588370224883</v>
      </c>
      <c r="I59">
        <v>578.359311013523</v>
      </c>
      <c r="J59">
        <v>542.256941601892</v>
      </c>
    </row>
    <row r="60" spans="1:10">
      <c r="A60" t="s">
        <v>50</v>
      </c>
      <c r="B60" t="s">
        <v>131</v>
      </c>
      <c r="C60" t="s">
        <v>132</v>
      </c>
      <c r="D60" t="s">
        <v>132</v>
      </c>
      <c r="E60" t="s">
        <v>53</v>
      </c>
      <c r="F60">
        <v>2149.66384670727</v>
      </c>
      <c r="G60">
        <v>730.681850345375</v>
      </c>
      <c r="H60">
        <v>720.089409280625</v>
      </c>
      <c r="I60">
        <v>664.652960646902</v>
      </c>
      <c r="J60">
        <v>638.662955233335</v>
      </c>
    </row>
    <row r="61" spans="1:10">
      <c r="A61" t="s">
        <v>50</v>
      </c>
      <c r="B61" t="s">
        <v>133</v>
      </c>
      <c r="C61" t="s">
        <v>134</v>
      </c>
      <c r="D61" t="s">
        <v>134</v>
      </c>
      <c r="E61" t="s">
        <v>53</v>
      </c>
      <c r="F61">
        <v>914.562889726941</v>
      </c>
      <c r="G61">
        <v>477.256538859278</v>
      </c>
      <c r="H61">
        <v>436.115664122107</v>
      </c>
      <c r="I61">
        <v>401.068036320112</v>
      </c>
      <c r="J61">
        <v>386.970385496774</v>
      </c>
    </row>
    <row r="62" spans="1:10">
      <c r="A62" t="s">
        <v>50</v>
      </c>
      <c r="B62" t="s">
        <v>135</v>
      </c>
      <c r="C62" t="s">
        <v>136</v>
      </c>
      <c r="D62" t="s">
        <v>136</v>
      </c>
      <c r="E62" t="s">
        <v>53</v>
      </c>
      <c r="F62">
        <v>1413.97348444436</v>
      </c>
      <c r="G62">
        <v>803.444108894492</v>
      </c>
      <c r="H62">
        <v>841.018532136146</v>
      </c>
      <c r="I62">
        <v>759.891266971167</v>
      </c>
      <c r="J62">
        <v>691.833257050451</v>
      </c>
    </row>
    <row r="63" spans="1:10">
      <c r="A63" t="s">
        <v>27</v>
      </c>
      <c r="B63" t="s">
        <v>137</v>
      </c>
      <c r="C63" t="s">
        <v>138</v>
      </c>
      <c r="D63" t="s">
        <v>138</v>
      </c>
      <c r="E63" t="s">
        <v>53</v>
      </c>
      <c r="F63">
        <v>310.856983709834</v>
      </c>
      <c r="G63">
        <v>360.647198927786</v>
      </c>
      <c r="H63">
        <v>288.442959870882</v>
      </c>
      <c r="I63">
        <v>256.326067688573</v>
      </c>
      <c r="J63">
        <v>250.905721386771</v>
      </c>
    </row>
    <row r="64" spans="1:10">
      <c r="A64" t="s">
        <v>50</v>
      </c>
      <c r="B64" t="s">
        <v>139</v>
      </c>
      <c r="C64" t="s">
        <v>140</v>
      </c>
      <c r="D64" t="s">
        <v>140</v>
      </c>
      <c r="E64" t="s">
        <v>53</v>
      </c>
      <c r="F64">
        <v>2457.0206418447</v>
      </c>
      <c r="G64">
        <v>1015.75506770612</v>
      </c>
      <c r="H64">
        <v>742.252361066752</v>
      </c>
      <c r="I64">
        <v>620.133806138373</v>
      </c>
      <c r="J64" t="s">
        <v>53</v>
      </c>
    </row>
    <row r="65" spans="1:10">
      <c r="A65" t="s">
        <v>27</v>
      </c>
      <c r="B65" t="s">
        <v>141</v>
      </c>
      <c r="C65" t="s">
        <v>142</v>
      </c>
      <c r="D65" t="s">
        <v>142</v>
      </c>
      <c r="E65" t="s">
        <v>53</v>
      </c>
      <c r="F65">
        <v>681.423595751707</v>
      </c>
      <c r="G65">
        <v>756.729642899061</v>
      </c>
      <c r="H65">
        <v>710.686165466991</v>
      </c>
      <c r="I65">
        <v>661.314681697051</v>
      </c>
      <c r="J65">
        <v>602.863437654956</v>
      </c>
    </row>
    <row r="66" spans="1:10">
      <c r="A66" t="s">
        <v>27</v>
      </c>
      <c r="B66" t="s">
        <v>143</v>
      </c>
      <c r="C66" t="s">
        <v>144</v>
      </c>
      <c r="D66" t="s">
        <v>144</v>
      </c>
      <c r="E66" t="s">
        <v>53</v>
      </c>
      <c r="F66">
        <v>318.120802319957</v>
      </c>
      <c r="G66">
        <v>561.08628317985</v>
      </c>
      <c r="H66">
        <v>352.873849790143</v>
      </c>
      <c r="I66">
        <v>273.111567625842</v>
      </c>
      <c r="J66">
        <v>255.041591261595</v>
      </c>
    </row>
    <row r="67" spans="1:10">
      <c r="A67" t="s">
        <v>27</v>
      </c>
      <c r="B67" t="s">
        <v>145</v>
      </c>
      <c r="C67" t="s">
        <v>146</v>
      </c>
      <c r="D67" t="s">
        <v>146</v>
      </c>
      <c r="E67" t="s">
        <v>53</v>
      </c>
      <c r="F67">
        <v>310.856983709834</v>
      </c>
      <c r="G67">
        <v>360.647198927786</v>
      </c>
      <c r="H67">
        <v>288.442959870882</v>
      </c>
      <c r="I67">
        <v>256.326067688573</v>
      </c>
      <c r="J67">
        <v>250.905721386771</v>
      </c>
    </row>
    <row r="68" spans="1:10">
      <c r="A68" t="s">
        <v>58</v>
      </c>
      <c r="B68" t="s">
        <v>147</v>
      </c>
      <c r="C68" t="s">
        <v>148</v>
      </c>
      <c r="D68" t="s">
        <v>148</v>
      </c>
      <c r="E68" t="s">
        <v>53</v>
      </c>
      <c r="F68">
        <v>589.975639043667</v>
      </c>
      <c r="G68">
        <v>448.847367860208</v>
      </c>
      <c r="H68">
        <v>477.997531705697</v>
      </c>
      <c r="I68">
        <v>451.0161178003</v>
      </c>
      <c r="J68" t="s">
        <v>53</v>
      </c>
    </row>
    <row r="69" spans="1:10">
      <c r="A69" t="s">
        <v>50</v>
      </c>
      <c r="B69" t="s">
        <v>149</v>
      </c>
      <c r="C69" t="s">
        <v>150</v>
      </c>
      <c r="D69" t="s">
        <v>150</v>
      </c>
      <c r="E69" t="s">
        <v>53</v>
      </c>
      <c r="F69">
        <v>1025.87378822911</v>
      </c>
      <c r="G69">
        <v>452.087406651202</v>
      </c>
      <c r="H69">
        <v>404.144077151424</v>
      </c>
      <c r="I69">
        <v>373.964398952635</v>
      </c>
      <c r="J69">
        <v>366.829876963423</v>
      </c>
    </row>
    <row r="70" spans="1:10">
      <c r="A70" t="s">
        <v>27</v>
      </c>
      <c r="B70" t="s">
        <v>151</v>
      </c>
      <c r="C70" t="s">
        <v>152</v>
      </c>
      <c r="D70" t="s">
        <v>152</v>
      </c>
      <c r="E70" t="s">
        <v>53</v>
      </c>
      <c r="F70">
        <v>33.4330161356898</v>
      </c>
      <c r="G70">
        <v>256.104471183126</v>
      </c>
      <c r="H70">
        <v>166.713396768637</v>
      </c>
      <c r="I70">
        <v>122.019801373582</v>
      </c>
      <c r="J70">
        <v>103.59589080664</v>
      </c>
    </row>
    <row r="71" spans="1:10">
      <c r="A71" t="s">
        <v>27</v>
      </c>
      <c r="B71" t="s">
        <v>153</v>
      </c>
      <c r="C71" t="s">
        <v>154</v>
      </c>
      <c r="D71" t="s">
        <v>154</v>
      </c>
      <c r="E71" t="s">
        <v>53</v>
      </c>
      <c r="F71">
        <v>681.423595751707</v>
      </c>
      <c r="G71">
        <v>756.729642899061</v>
      </c>
      <c r="H71">
        <v>710.686165466991</v>
      </c>
      <c r="I71">
        <v>661.314681697051</v>
      </c>
      <c r="J71">
        <v>602.863437654956</v>
      </c>
    </row>
    <row r="72" spans="1:10">
      <c r="A72" t="s">
        <v>27</v>
      </c>
      <c r="B72" t="s">
        <v>155</v>
      </c>
      <c r="C72" t="s">
        <v>156</v>
      </c>
      <c r="D72" t="s">
        <v>156</v>
      </c>
      <c r="E72" t="s">
        <v>53</v>
      </c>
      <c r="F72">
        <v>318.120802319957</v>
      </c>
      <c r="G72">
        <v>406.964887502412</v>
      </c>
      <c r="H72">
        <v>333.720337881274</v>
      </c>
      <c r="I72">
        <v>295.697594220305</v>
      </c>
      <c r="J72">
        <v>288.145812673985</v>
      </c>
    </row>
    <row r="73" spans="1:10">
      <c r="A73" t="s">
        <v>50</v>
      </c>
      <c r="B73" t="s">
        <v>157</v>
      </c>
      <c r="C73" t="s">
        <v>158</v>
      </c>
      <c r="D73" t="s">
        <v>158</v>
      </c>
      <c r="E73" t="s">
        <v>53</v>
      </c>
      <c r="F73">
        <v>2218.5874589668</v>
      </c>
      <c r="G73">
        <v>731.732922373452</v>
      </c>
      <c r="H73">
        <v>737.139087689853</v>
      </c>
      <c r="I73">
        <v>670.268230221201</v>
      </c>
      <c r="J73">
        <v>647.455221777979</v>
      </c>
    </row>
    <row r="74" spans="1:10">
      <c r="A74" t="s">
        <v>58</v>
      </c>
      <c r="B74" t="s">
        <v>159</v>
      </c>
      <c r="C74" t="s">
        <v>160</v>
      </c>
      <c r="D74" t="s">
        <v>160</v>
      </c>
      <c r="E74" t="s">
        <v>53</v>
      </c>
      <c r="F74" t="s">
        <v>53</v>
      </c>
      <c r="G74">
        <v>1084.60097882239</v>
      </c>
      <c r="H74">
        <v>940.675738616882</v>
      </c>
      <c r="I74">
        <v>799.214683823355</v>
      </c>
      <c r="J74">
        <v>681.303919993661</v>
      </c>
    </row>
    <row r="75" spans="1:10">
      <c r="A75" t="s">
        <v>27</v>
      </c>
      <c r="B75" t="s">
        <v>161</v>
      </c>
      <c r="C75" t="s">
        <v>162</v>
      </c>
      <c r="D75" t="s">
        <v>162</v>
      </c>
      <c r="E75" t="s">
        <v>53</v>
      </c>
      <c r="F75">
        <v>318.140973781091</v>
      </c>
      <c r="G75">
        <v>922.175845977076</v>
      </c>
      <c r="H75">
        <v>866.671620727734</v>
      </c>
      <c r="I75">
        <v>555.266794367365</v>
      </c>
      <c r="J75">
        <v>473.487402162308</v>
      </c>
    </row>
    <row r="76" spans="1:10">
      <c r="A76" t="s">
        <v>50</v>
      </c>
      <c r="B76" t="s">
        <v>163</v>
      </c>
      <c r="C76" t="s">
        <v>164</v>
      </c>
      <c r="D76" t="s">
        <v>164</v>
      </c>
      <c r="E76" t="s">
        <v>53</v>
      </c>
      <c r="F76">
        <v>2010.45614752667</v>
      </c>
      <c r="G76">
        <v>529.721398262495</v>
      </c>
      <c r="H76">
        <v>670.283276607438</v>
      </c>
      <c r="I76">
        <v>716.397355897781</v>
      </c>
      <c r="J76">
        <v>711.762360811818</v>
      </c>
    </row>
    <row r="77" spans="1:10">
      <c r="A77" t="s">
        <v>50</v>
      </c>
      <c r="B77" t="s">
        <v>165</v>
      </c>
      <c r="C77" t="s">
        <v>166</v>
      </c>
      <c r="D77" t="s">
        <v>166</v>
      </c>
      <c r="E77" t="s">
        <v>53</v>
      </c>
      <c r="F77" t="s">
        <v>53</v>
      </c>
      <c r="G77">
        <v>456.056308813225</v>
      </c>
      <c r="H77">
        <v>400.272561419033</v>
      </c>
      <c r="I77">
        <v>379.469683362489</v>
      </c>
      <c r="J77">
        <v>376.963397598299</v>
      </c>
    </row>
    <row r="78" spans="1:10">
      <c r="A78" t="s">
        <v>27</v>
      </c>
      <c r="B78" t="s">
        <v>167</v>
      </c>
      <c r="C78" t="s">
        <v>168</v>
      </c>
      <c r="D78" t="s">
        <v>168</v>
      </c>
      <c r="E78" t="s">
        <v>53</v>
      </c>
      <c r="F78">
        <v>318.140973781091</v>
      </c>
      <c r="G78">
        <v>668.868943451262</v>
      </c>
      <c r="H78">
        <v>819.629865668357</v>
      </c>
      <c r="I78">
        <v>601.186748229536</v>
      </c>
      <c r="J78">
        <v>534.945738113018</v>
      </c>
    </row>
    <row r="79" spans="1:10">
      <c r="A79" t="s">
        <v>27</v>
      </c>
      <c r="B79" t="s">
        <v>169</v>
      </c>
      <c r="C79" t="s">
        <v>170</v>
      </c>
      <c r="D79" t="s">
        <v>170</v>
      </c>
      <c r="E79" t="s">
        <v>53</v>
      </c>
      <c r="F79">
        <v>229.054876074505</v>
      </c>
      <c r="G79">
        <v>347.446480446637</v>
      </c>
      <c r="H79">
        <v>315.140555354277</v>
      </c>
      <c r="I79">
        <v>247.847071446778</v>
      </c>
      <c r="J79">
        <v>242.874602894853</v>
      </c>
    </row>
    <row r="80" spans="1:10">
      <c r="A80" t="s">
        <v>27</v>
      </c>
      <c r="B80" t="s">
        <v>171</v>
      </c>
      <c r="C80" t="s">
        <v>172</v>
      </c>
      <c r="D80" t="s">
        <v>172</v>
      </c>
      <c r="E80" t="s">
        <v>53</v>
      </c>
      <c r="F80">
        <v>229.054876074505</v>
      </c>
      <c r="G80">
        <v>479.027700679874</v>
      </c>
      <c r="H80">
        <v>333.227701071159</v>
      </c>
      <c r="I80">
        <v>228.915972051745</v>
      </c>
      <c r="J80">
        <v>214.971457070643</v>
      </c>
    </row>
    <row r="81" spans="1:10">
      <c r="A81" t="s">
        <v>10</v>
      </c>
      <c r="B81" t="s">
        <v>173</v>
      </c>
      <c r="C81" t="s">
        <v>174</v>
      </c>
      <c r="D81" t="s">
        <v>174</v>
      </c>
      <c r="E81" t="s">
        <v>53</v>
      </c>
      <c r="F81">
        <v>1257.79370053278</v>
      </c>
      <c r="G81">
        <v>995.142703976535</v>
      </c>
      <c r="H81">
        <v>625.154508345784</v>
      </c>
      <c r="I81">
        <v>451.271859001206</v>
      </c>
      <c r="J81">
        <v>365.665662905589</v>
      </c>
    </row>
    <row r="82" spans="1:10">
      <c r="A82" t="s">
        <v>10</v>
      </c>
      <c r="B82" t="s">
        <v>175</v>
      </c>
      <c r="C82" t="s">
        <v>176</v>
      </c>
      <c r="D82" t="s">
        <v>176</v>
      </c>
      <c r="E82" t="s">
        <v>53</v>
      </c>
      <c r="F82">
        <v>1257.79370053278</v>
      </c>
      <c r="G82">
        <v>721.792976790419</v>
      </c>
      <c r="H82">
        <v>591.22197317038</v>
      </c>
      <c r="I82">
        <v>488.591545960411</v>
      </c>
      <c r="J82">
        <v>413.128811985925</v>
      </c>
    </row>
    <row r="83" spans="1:10">
      <c r="A83" t="s">
        <v>10</v>
      </c>
      <c r="B83" t="s">
        <v>177</v>
      </c>
      <c r="C83" t="s">
        <v>178</v>
      </c>
      <c r="D83" t="s">
        <v>178</v>
      </c>
      <c r="E83" t="s">
        <v>53</v>
      </c>
      <c r="F83">
        <v>1257.79370053278</v>
      </c>
      <c r="G83">
        <v>721.792976790419</v>
      </c>
      <c r="H83">
        <v>591.22197317038</v>
      </c>
      <c r="I83">
        <v>488.591545960411</v>
      </c>
      <c r="J83">
        <v>413.128811985925</v>
      </c>
    </row>
    <row r="84" spans="1:10">
      <c r="A84" t="s">
        <v>10</v>
      </c>
      <c r="B84" t="s">
        <v>179</v>
      </c>
      <c r="C84" t="s">
        <v>180</v>
      </c>
      <c r="D84" t="s">
        <v>180</v>
      </c>
      <c r="E84" t="s">
        <v>53</v>
      </c>
      <c r="F84">
        <v>2052.62847905162</v>
      </c>
      <c r="G84">
        <v>1181.30366870475</v>
      </c>
      <c r="H84">
        <v>1021.87991135987</v>
      </c>
      <c r="I84">
        <v>896.631137565126</v>
      </c>
      <c r="J84">
        <v>728.72216329396</v>
      </c>
    </row>
    <row r="85" spans="1:10">
      <c r="A85" t="s">
        <v>10</v>
      </c>
      <c r="B85" t="s">
        <v>181</v>
      </c>
      <c r="C85" t="s">
        <v>182</v>
      </c>
      <c r="D85" t="s">
        <v>182</v>
      </c>
      <c r="E85" t="s">
        <v>53</v>
      </c>
      <c r="F85">
        <v>1490.84048597879</v>
      </c>
      <c r="G85">
        <v>870.629114709223</v>
      </c>
      <c r="H85">
        <v>697.404157123504</v>
      </c>
      <c r="I85">
        <v>596.011181569754</v>
      </c>
      <c r="J85">
        <v>506.54595236623</v>
      </c>
    </row>
    <row r="86" spans="1:10">
      <c r="A86" t="s">
        <v>10</v>
      </c>
      <c r="B86" t="s">
        <v>183</v>
      </c>
      <c r="C86" t="s">
        <v>184</v>
      </c>
      <c r="D86" t="s">
        <v>184</v>
      </c>
      <c r="E86" t="s">
        <v>53</v>
      </c>
      <c r="F86">
        <v>1466.25671684027</v>
      </c>
      <c r="G86">
        <v>929.421347621515</v>
      </c>
      <c r="H86">
        <v>771.650031805984</v>
      </c>
      <c r="I86">
        <v>674.071254858164</v>
      </c>
      <c r="J86">
        <v>556.067446350601</v>
      </c>
    </row>
    <row r="87" spans="1:10">
      <c r="A87" t="s">
        <v>10</v>
      </c>
      <c r="B87" t="s">
        <v>185</v>
      </c>
      <c r="C87" t="s">
        <v>186</v>
      </c>
      <c r="D87" t="s">
        <v>186</v>
      </c>
      <c r="E87" t="s">
        <v>53</v>
      </c>
      <c r="F87" t="s">
        <v>53</v>
      </c>
      <c r="G87">
        <v>870.629114709223</v>
      </c>
      <c r="H87">
        <v>697.404157123504</v>
      </c>
      <c r="I87">
        <v>596.011181569754</v>
      </c>
      <c r="J87">
        <v>506.54595236623</v>
      </c>
    </row>
    <row r="88" spans="1:10">
      <c r="A88" t="s">
        <v>10</v>
      </c>
      <c r="B88" t="s">
        <v>187</v>
      </c>
      <c r="C88" t="s">
        <v>188</v>
      </c>
      <c r="D88" t="s">
        <v>188</v>
      </c>
      <c r="E88" t="s">
        <v>53</v>
      </c>
      <c r="F88">
        <v>2052.62847905162</v>
      </c>
      <c r="G88">
        <v>1181.30366870475</v>
      </c>
      <c r="H88">
        <v>1021.87991135987</v>
      </c>
      <c r="I88">
        <v>896.631137565126</v>
      </c>
      <c r="J88">
        <v>728.72216329396</v>
      </c>
    </row>
    <row r="89" spans="1:10">
      <c r="A89" t="s">
        <v>10</v>
      </c>
      <c r="B89" t="s">
        <v>189</v>
      </c>
      <c r="C89" t="s">
        <v>190</v>
      </c>
      <c r="D89" t="s">
        <v>190</v>
      </c>
      <c r="E89" t="s">
        <v>53</v>
      </c>
      <c r="F89">
        <v>1231.5092060729</v>
      </c>
      <c r="G89">
        <v>881.250444924317</v>
      </c>
      <c r="H89">
        <v>694.801330930021</v>
      </c>
      <c r="I89">
        <v>626.231030830906</v>
      </c>
      <c r="J89">
        <v>505.941619175586</v>
      </c>
    </row>
    <row r="90" spans="1:10">
      <c r="A90" t="s">
        <v>10</v>
      </c>
      <c r="B90" t="s">
        <v>191</v>
      </c>
      <c r="C90" t="s">
        <v>192</v>
      </c>
      <c r="D90" t="s">
        <v>192</v>
      </c>
      <c r="E90" t="s">
        <v>53</v>
      </c>
      <c r="F90">
        <v>1724.00292497679</v>
      </c>
      <c r="G90">
        <v>1120.07797787395</v>
      </c>
      <c r="H90">
        <v>920.110792714912</v>
      </c>
      <c r="I90">
        <v>832.995380689606</v>
      </c>
      <c r="J90">
        <v>663.032647650483</v>
      </c>
    </row>
    <row r="91" spans="1:10">
      <c r="A91" t="s">
        <v>10</v>
      </c>
      <c r="B91" t="s">
        <v>193</v>
      </c>
      <c r="C91" t="s">
        <v>194</v>
      </c>
      <c r="D91" t="s">
        <v>194</v>
      </c>
      <c r="E91" t="s">
        <v>53</v>
      </c>
      <c r="F91">
        <v>1724.00292497679</v>
      </c>
      <c r="G91">
        <v>1120.07797787395</v>
      </c>
      <c r="H91">
        <v>920.110792714912</v>
      </c>
      <c r="I91">
        <v>832.995380689606</v>
      </c>
      <c r="J91">
        <v>663.032647650483</v>
      </c>
    </row>
    <row r="92" spans="1:10">
      <c r="A92" t="s">
        <v>10</v>
      </c>
      <c r="B92" t="s">
        <v>195</v>
      </c>
      <c r="C92" t="s">
        <v>196</v>
      </c>
      <c r="D92" t="s">
        <v>196</v>
      </c>
      <c r="E92" t="s">
        <v>53</v>
      </c>
      <c r="F92" t="s">
        <v>53</v>
      </c>
      <c r="G92">
        <v>870.629114709223</v>
      </c>
      <c r="H92">
        <v>697.404157123504</v>
      </c>
      <c r="I92">
        <v>596.011181569754</v>
      </c>
      <c r="J92">
        <v>506.54595236623</v>
      </c>
    </row>
    <row r="93" spans="1:10">
      <c r="A93" t="s">
        <v>58</v>
      </c>
      <c r="B93" t="s">
        <v>197</v>
      </c>
      <c r="C93" t="s">
        <v>198</v>
      </c>
      <c r="D93" t="s">
        <v>198</v>
      </c>
      <c r="E93" t="s">
        <v>53</v>
      </c>
      <c r="F93" t="s">
        <v>53</v>
      </c>
      <c r="G93">
        <v>733.06349540358</v>
      </c>
      <c r="H93">
        <v>681.736293650233</v>
      </c>
      <c r="I93">
        <v>636.925863661173</v>
      </c>
      <c r="J93">
        <v>589.692317127931</v>
      </c>
    </row>
    <row r="94" spans="1:10">
      <c r="A94" t="s">
        <v>27</v>
      </c>
      <c r="B94" t="s">
        <v>199</v>
      </c>
      <c r="C94" t="s">
        <v>200</v>
      </c>
      <c r="D94" t="s">
        <v>200</v>
      </c>
      <c r="E94" t="s">
        <v>53</v>
      </c>
      <c r="F94" t="s">
        <v>53</v>
      </c>
      <c r="G94">
        <v>304.981938164467</v>
      </c>
      <c r="H94">
        <v>349.855337308188</v>
      </c>
      <c r="I94">
        <v>285.995371975124</v>
      </c>
      <c r="J94">
        <v>242.271829781346</v>
      </c>
    </row>
    <row r="95" spans="1:10">
      <c r="A95" t="s">
        <v>27</v>
      </c>
      <c r="B95" t="s">
        <v>201</v>
      </c>
      <c r="C95" t="s">
        <v>202</v>
      </c>
      <c r="D95" t="s">
        <v>202</v>
      </c>
      <c r="E95" t="s">
        <v>53</v>
      </c>
      <c r="F95" t="s">
        <v>53</v>
      </c>
      <c r="G95">
        <v>365.333927342254</v>
      </c>
      <c r="H95">
        <v>177.839729321015</v>
      </c>
      <c r="I95">
        <v>145.737167407914</v>
      </c>
      <c r="J95" t="s">
        <v>53</v>
      </c>
    </row>
    <row r="96" spans="1:10">
      <c r="A96" t="s">
        <v>27</v>
      </c>
      <c r="B96" t="s">
        <v>203</v>
      </c>
      <c r="C96" t="s">
        <v>204</v>
      </c>
      <c r="D96" t="s">
        <v>204</v>
      </c>
      <c r="E96" t="s">
        <v>53</v>
      </c>
      <c r="F96" t="s">
        <v>53</v>
      </c>
      <c r="G96">
        <v>254.278661817967</v>
      </c>
      <c r="H96">
        <v>254.748194118645</v>
      </c>
      <c r="I96">
        <v>271.417056805774</v>
      </c>
      <c r="J96">
        <v>277.956638684866</v>
      </c>
    </row>
    <row r="97" spans="1:10">
      <c r="A97" t="s">
        <v>58</v>
      </c>
      <c r="B97" t="s">
        <v>205</v>
      </c>
      <c r="C97" t="s">
        <v>206</v>
      </c>
      <c r="D97" t="s">
        <v>206</v>
      </c>
      <c r="E97" t="s">
        <v>53</v>
      </c>
      <c r="F97" t="s">
        <v>53</v>
      </c>
      <c r="G97">
        <v>645.240957279677</v>
      </c>
      <c r="H97">
        <v>473.613851032091</v>
      </c>
      <c r="I97">
        <v>429.176713751141</v>
      </c>
      <c r="J97">
        <v>379.241813681582</v>
      </c>
    </row>
    <row r="98" spans="1:10">
      <c r="A98" t="s">
        <v>27</v>
      </c>
      <c r="B98" t="s">
        <v>207</v>
      </c>
      <c r="C98" t="s">
        <v>208</v>
      </c>
      <c r="D98" t="s">
        <v>208</v>
      </c>
      <c r="E98" t="s">
        <v>53</v>
      </c>
      <c r="F98" t="s">
        <v>53</v>
      </c>
      <c r="G98">
        <v>483.218586893068</v>
      </c>
      <c r="H98">
        <v>278.831980570602</v>
      </c>
      <c r="I98">
        <v>230.206901372575</v>
      </c>
      <c r="J98" t="s">
        <v>53</v>
      </c>
    </row>
    <row r="99" spans="1:10">
      <c r="A99" t="s">
        <v>27</v>
      </c>
      <c r="B99" t="s">
        <v>209</v>
      </c>
      <c r="C99" t="s">
        <v>210</v>
      </c>
      <c r="D99" t="s">
        <v>210</v>
      </c>
      <c r="E99" t="s">
        <v>53</v>
      </c>
      <c r="F99" t="s">
        <v>53</v>
      </c>
      <c r="G99">
        <v>525.453457446311</v>
      </c>
      <c r="H99">
        <v>379.311502325383</v>
      </c>
      <c r="I99">
        <v>330.650725243823</v>
      </c>
      <c r="J99">
        <v>294.551570593184</v>
      </c>
    </row>
    <row r="100" spans="1:10">
      <c r="A100" t="s">
        <v>27</v>
      </c>
      <c r="B100" t="s">
        <v>211</v>
      </c>
      <c r="C100" t="s">
        <v>212</v>
      </c>
      <c r="D100" t="s">
        <v>212</v>
      </c>
      <c r="E100" t="s">
        <v>53</v>
      </c>
      <c r="F100" t="s">
        <v>53</v>
      </c>
      <c r="G100">
        <v>307.313956293065</v>
      </c>
      <c r="H100">
        <v>328.28613026837</v>
      </c>
      <c r="I100">
        <v>341.383125627844</v>
      </c>
      <c r="J100">
        <v>345.616832238248</v>
      </c>
    </row>
    <row r="101" spans="1:10">
      <c r="A101" t="s">
        <v>27</v>
      </c>
      <c r="B101" t="s">
        <v>213</v>
      </c>
      <c r="C101" t="s">
        <v>214</v>
      </c>
      <c r="D101" t="s">
        <v>214</v>
      </c>
      <c r="E101" t="s">
        <v>53</v>
      </c>
      <c r="F101" t="s">
        <v>53</v>
      </c>
      <c r="G101">
        <v>1136.38571712768</v>
      </c>
      <c r="H101">
        <v>848.037435026207</v>
      </c>
      <c r="I101">
        <v>755.769997430113</v>
      </c>
      <c r="J101">
        <v>659.85983169659</v>
      </c>
    </row>
    <row r="102" spans="1:10">
      <c r="A102" t="s">
        <v>27</v>
      </c>
      <c r="B102" t="s">
        <v>215</v>
      </c>
      <c r="C102" t="s">
        <v>216</v>
      </c>
      <c r="D102" t="s">
        <v>216</v>
      </c>
      <c r="E102" t="s">
        <v>53</v>
      </c>
      <c r="F102" t="s">
        <v>53</v>
      </c>
      <c r="G102">
        <v>369.757205450348</v>
      </c>
      <c r="H102">
        <v>300.031328086852</v>
      </c>
      <c r="I102">
        <v>270.237966966168</v>
      </c>
      <c r="J102">
        <v>262.865441749775</v>
      </c>
    </row>
    <row r="103" spans="1:10">
      <c r="A103" t="s">
        <v>27</v>
      </c>
      <c r="B103" t="s">
        <v>217</v>
      </c>
      <c r="C103" t="s">
        <v>218</v>
      </c>
      <c r="D103" t="s">
        <v>218</v>
      </c>
      <c r="E103" t="s">
        <v>53</v>
      </c>
      <c r="F103" t="s">
        <v>53</v>
      </c>
      <c r="G103">
        <v>381.119827035313</v>
      </c>
      <c r="H103">
        <v>358.722990648247</v>
      </c>
      <c r="I103">
        <v>357.995176959126</v>
      </c>
      <c r="J103">
        <v>332.784159882053</v>
      </c>
    </row>
    <row r="104" spans="1:10">
      <c r="A104" t="s">
        <v>27</v>
      </c>
      <c r="B104" t="s">
        <v>219</v>
      </c>
      <c r="C104" t="s">
        <v>220</v>
      </c>
      <c r="D104" t="s">
        <v>220</v>
      </c>
      <c r="E104" t="s">
        <v>53</v>
      </c>
      <c r="F104" t="s">
        <v>53</v>
      </c>
      <c r="G104">
        <v>369.757205450348</v>
      </c>
      <c r="H104">
        <v>300.031328086852</v>
      </c>
      <c r="I104">
        <v>270.237966966168</v>
      </c>
      <c r="J104">
        <v>262.865441749775</v>
      </c>
    </row>
    <row r="105" spans="1:10">
      <c r="A105" t="s">
        <v>58</v>
      </c>
      <c r="B105" t="s">
        <v>221</v>
      </c>
      <c r="C105" t="s">
        <v>222</v>
      </c>
      <c r="D105" t="s">
        <v>222</v>
      </c>
      <c r="E105" t="s">
        <v>53</v>
      </c>
      <c r="F105" t="s">
        <v>53</v>
      </c>
      <c r="G105" t="s">
        <v>53</v>
      </c>
      <c r="H105">
        <v>715.453541116465</v>
      </c>
      <c r="I105">
        <v>553.619395417244</v>
      </c>
      <c r="J105">
        <v>488.463895755597</v>
      </c>
    </row>
    <row r="106" spans="1:10">
      <c r="A106" t="s">
        <v>50</v>
      </c>
      <c r="B106" t="s">
        <v>223</v>
      </c>
      <c r="C106" t="s">
        <v>224</v>
      </c>
      <c r="D106" t="s">
        <v>224</v>
      </c>
      <c r="E106" t="s">
        <v>53</v>
      </c>
      <c r="F106" t="s">
        <v>53</v>
      </c>
      <c r="G106">
        <v>494.07738053786</v>
      </c>
      <c r="H106">
        <v>421.034558405318</v>
      </c>
      <c r="I106">
        <v>409.26239972468</v>
      </c>
      <c r="J106">
        <v>413.968126229249</v>
      </c>
    </row>
    <row r="107" spans="1:10">
      <c r="A107" t="s">
        <v>50</v>
      </c>
      <c r="B107" t="s">
        <v>225</v>
      </c>
      <c r="C107" t="s">
        <v>226</v>
      </c>
      <c r="D107" t="s">
        <v>226</v>
      </c>
      <c r="E107" t="s">
        <v>53</v>
      </c>
      <c r="F107" t="s">
        <v>53</v>
      </c>
      <c r="G107" t="s">
        <v>53</v>
      </c>
      <c r="H107">
        <v>745.51624047661</v>
      </c>
      <c r="I107">
        <v>681.928979718819</v>
      </c>
      <c r="J107">
        <v>656.097038281695</v>
      </c>
    </row>
    <row r="108" spans="1:10">
      <c r="A108" t="s">
        <v>27</v>
      </c>
      <c r="B108" t="s">
        <v>227</v>
      </c>
      <c r="C108" t="s">
        <v>228</v>
      </c>
      <c r="D108" t="s">
        <v>228</v>
      </c>
      <c r="E108" t="s">
        <v>53</v>
      </c>
      <c r="F108" t="s">
        <v>53</v>
      </c>
      <c r="G108">
        <v>483.417809761649</v>
      </c>
      <c r="H108">
        <v>345.312157240435</v>
      </c>
      <c r="I108">
        <v>238.146497944229</v>
      </c>
      <c r="J108">
        <v>222.251852879047</v>
      </c>
    </row>
    <row r="109" spans="1:10">
      <c r="A109" t="s">
        <v>27</v>
      </c>
      <c r="B109" t="s">
        <v>229</v>
      </c>
      <c r="C109" t="s">
        <v>230</v>
      </c>
      <c r="D109" t="s">
        <v>230</v>
      </c>
      <c r="E109" t="s">
        <v>53</v>
      </c>
      <c r="F109" t="s">
        <v>53</v>
      </c>
      <c r="G109">
        <v>918.207670177202</v>
      </c>
      <c r="H109">
        <v>837.783055270829</v>
      </c>
      <c r="I109">
        <v>545.543124287433</v>
      </c>
      <c r="J109">
        <v>473.487402162308</v>
      </c>
    </row>
    <row r="110" spans="1:10">
      <c r="A110" t="s">
        <v>58</v>
      </c>
      <c r="B110" t="s">
        <v>231</v>
      </c>
      <c r="C110" t="s">
        <v>232</v>
      </c>
      <c r="D110" t="s">
        <v>232</v>
      </c>
      <c r="E110" t="s">
        <v>53</v>
      </c>
      <c r="F110" t="s">
        <v>53</v>
      </c>
      <c r="G110">
        <v>456.229318051439</v>
      </c>
      <c r="H110">
        <v>375.60082617296</v>
      </c>
      <c r="I110">
        <v>360.411180134354</v>
      </c>
      <c r="J110">
        <v>353.494509689528</v>
      </c>
    </row>
    <row r="111" spans="1:10">
      <c r="A111" t="s">
        <v>27</v>
      </c>
      <c r="B111" t="s">
        <v>233</v>
      </c>
      <c r="C111" t="s">
        <v>234</v>
      </c>
      <c r="D111" t="s">
        <v>234</v>
      </c>
      <c r="E111" t="s">
        <v>53</v>
      </c>
      <c r="F111" t="s">
        <v>53</v>
      </c>
      <c r="G111" t="s">
        <v>53</v>
      </c>
      <c r="H111">
        <v>300.031328086852</v>
      </c>
      <c r="I111">
        <v>273.3249882976</v>
      </c>
      <c r="J111">
        <v>266.374000853725</v>
      </c>
    </row>
    <row r="112" spans="1:10">
      <c r="A112" t="s">
        <v>27</v>
      </c>
      <c r="B112" t="s">
        <v>235</v>
      </c>
      <c r="C112" t="s">
        <v>236</v>
      </c>
      <c r="D112" t="s">
        <v>236</v>
      </c>
      <c r="E112" t="s">
        <v>53</v>
      </c>
      <c r="F112" t="s">
        <v>53</v>
      </c>
      <c r="G112" t="s">
        <v>53</v>
      </c>
      <c r="H112">
        <v>283.746036278001</v>
      </c>
      <c r="I112">
        <v>295.928664547148</v>
      </c>
      <c r="J112">
        <v>300.949161160506</v>
      </c>
    </row>
    <row r="113" spans="1:10">
      <c r="A113" t="s">
        <v>10</v>
      </c>
      <c r="B113" t="s">
        <v>237</v>
      </c>
      <c r="C113" t="s">
        <v>238</v>
      </c>
      <c r="D113" t="s">
        <v>238</v>
      </c>
      <c r="E113" t="s">
        <v>53</v>
      </c>
      <c r="F113" t="s">
        <v>53</v>
      </c>
      <c r="G113">
        <v>734.114286501427</v>
      </c>
      <c r="H113">
        <v>689.363206932495</v>
      </c>
      <c r="I113">
        <v>615.647087552812</v>
      </c>
      <c r="J113">
        <v>493.012315128164</v>
      </c>
    </row>
    <row r="114" spans="1:10">
      <c r="A114" t="s">
        <v>10</v>
      </c>
      <c r="B114" t="s">
        <v>239</v>
      </c>
      <c r="C114" t="s">
        <v>240</v>
      </c>
      <c r="D114" t="s">
        <v>240</v>
      </c>
      <c r="E114" t="s">
        <v>53</v>
      </c>
      <c r="F114" t="s">
        <v>53</v>
      </c>
      <c r="G114">
        <v>734.114286501427</v>
      </c>
      <c r="H114">
        <v>689.363206932495</v>
      </c>
      <c r="I114">
        <v>615.647087552812</v>
      </c>
      <c r="J114">
        <v>493.012315128164</v>
      </c>
    </row>
    <row r="115" spans="1:10">
      <c r="A115" t="s">
        <v>10</v>
      </c>
      <c r="B115" t="s">
        <v>241</v>
      </c>
      <c r="C115" t="s">
        <v>242</v>
      </c>
      <c r="D115" t="s">
        <v>242</v>
      </c>
      <c r="E115" t="s">
        <v>53</v>
      </c>
      <c r="F115" t="s">
        <v>53</v>
      </c>
      <c r="G115">
        <v>734.114286501427</v>
      </c>
      <c r="H115">
        <v>689.363206932495</v>
      </c>
      <c r="I115">
        <v>615.647087552812</v>
      </c>
      <c r="J115">
        <v>493.012315128164</v>
      </c>
    </row>
    <row r="116" spans="1:10">
      <c r="A116" t="s">
        <v>10</v>
      </c>
      <c r="B116" t="s">
        <v>243</v>
      </c>
      <c r="C116" t="s">
        <v>244</v>
      </c>
      <c r="D116" t="s">
        <v>244</v>
      </c>
      <c r="E116" t="s">
        <v>53</v>
      </c>
      <c r="F116" t="s">
        <v>53</v>
      </c>
      <c r="G116" t="s">
        <v>53</v>
      </c>
      <c r="H116">
        <v>816.24015261789</v>
      </c>
      <c r="I116">
        <v>750.342521255467</v>
      </c>
      <c r="J116">
        <v>602.492365657153</v>
      </c>
    </row>
    <row r="117" spans="1:10">
      <c r="A117" t="s">
        <v>10</v>
      </c>
      <c r="B117" t="s">
        <v>245</v>
      </c>
      <c r="C117" t="s">
        <v>246</v>
      </c>
      <c r="D117" t="s">
        <v>246</v>
      </c>
      <c r="E117" t="s">
        <v>53</v>
      </c>
      <c r="F117" t="s">
        <v>53</v>
      </c>
      <c r="G117">
        <v>882.523561653531</v>
      </c>
      <c r="H117">
        <v>816.24015261789</v>
      </c>
      <c r="I117">
        <v>750.342521255467</v>
      </c>
      <c r="J117">
        <v>602.492365657153</v>
      </c>
    </row>
    <row r="118" spans="1:10">
      <c r="A118" t="s">
        <v>10</v>
      </c>
      <c r="B118" t="s">
        <v>247</v>
      </c>
      <c r="C118" t="s">
        <v>248</v>
      </c>
      <c r="D118" t="s">
        <v>248</v>
      </c>
      <c r="E118" t="s">
        <v>53</v>
      </c>
      <c r="F118" t="s">
        <v>53</v>
      </c>
      <c r="G118">
        <v>882.523561653531</v>
      </c>
      <c r="H118">
        <v>816.24015261789</v>
      </c>
      <c r="I118">
        <v>750.342521255467</v>
      </c>
      <c r="J118">
        <v>602.492365657153</v>
      </c>
    </row>
    <row r="119" spans="1:10">
      <c r="A119" t="s">
        <v>10</v>
      </c>
      <c r="B119" t="s">
        <v>249</v>
      </c>
      <c r="C119" t="s">
        <v>250</v>
      </c>
      <c r="D119" t="s">
        <v>250</v>
      </c>
      <c r="E119" t="s">
        <v>53</v>
      </c>
      <c r="F119" t="s">
        <v>53</v>
      </c>
      <c r="G119">
        <v>1154.98462496533</v>
      </c>
      <c r="H119">
        <v>920.110792714912</v>
      </c>
      <c r="I119">
        <v>852.13526660206</v>
      </c>
      <c r="J119">
        <v>680.850236177181</v>
      </c>
    </row>
    <row r="120" spans="1:10">
      <c r="A120" t="s">
        <v>10</v>
      </c>
      <c r="B120" t="s">
        <v>251</v>
      </c>
      <c r="C120" t="s">
        <v>252</v>
      </c>
      <c r="D120" t="s">
        <v>252</v>
      </c>
      <c r="E120" t="s">
        <v>53</v>
      </c>
      <c r="F120" t="s">
        <v>53</v>
      </c>
      <c r="G120">
        <v>1181.30366870475</v>
      </c>
      <c r="H120">
        <v>1021.87991135987</v>
      </c>
      <c r="I120">
        <v>896.631137565126</v>
      </c>
      <c r="J120">
        <v>728.72216329396</v>
      </c>
    </row>
    <row r="121" spans="1:10">
      <c r="A121" t="s">
        <v>10</v>
      </c>
      <c r="B121" t="s">
        <v>253</v>
      </c>
      <c r="C121" t="s">
        <v>254</v>
      </c>
      <c r="D121" t="s">
        <v>254</v>
      </c>
      <c r="E121" t="s">
        <v>53</v>
      </c>
      <c r="F121" t="s">
        <v>53</v>
      </c>
      <c r="G121">
        <v>1181.30366870475</v>
      </c>
      <c r="H121">
        <v>1021.87991135987</v>
      </c>
      <c r="I121">
        <v>896.631137565126</v>
      </c>
      <c r="J121">
        <v>728.72216329396</v>
      </c>
    </row>
    <row r="122" spans="1:10">
      <c r="A122" t="s">
        <v>10</v>
      </c>
      <c r="B122" t="s">
        <v>255</v>
      </c>
      <c r="C122" t="s">
        <v>256</v>
      </c>
      <c r="D122" t="s">
        <v>256</v>
      </c>
      <c r="E122" t="s">
        <v>53</v>
      </c>
      <c r="F122" t="s">
        <v>53</v>
      </c>
      <c r="G122">
        <v>908.714156279919</v>
      </c>
      <c r="H122">
        <v>694.801330930021</v>
      </c>
      <c r="I122">
        <v>640.620054783259</v>
      </c>
      <c r="J122">
        <v>519.537721299586</v>
      </c>
    </row>
    <row r="123" spans="1:10">
      <c r="A123" t="s">
        <v>10</v>
      </c>
      <c r="B123" t="s">
        <v>257</v>
      </c>
      <c r="C123" t="s">
        <v>258</v>
      </c>
      <c r="D123" t="s">
        <v>258</v>
      </c>
      <c r="E123" t="s">
        <v>53</v>
      </c>
      <c r="F123" t="s">
        <v>53</v>
      </c>
      <c r="G123">
        <v>1154.98462496533</v>
      </c>
      <c r="H123">
        <v>920.110792714912</v>
      </c>
      <c r="I123">
        <v>852.13526660206</v>
      </c>
      <c r="J123">
        <v>680.850236177181</v>
      </c>
    </row>
    <row r="124" spans="1:10">
      <c r="A124" t="s">
        <v>27</v>
      </c>
      <c r="B124" t="s">
        <v>259</v>
      </c>
      <c r="C124" t="s">
        <v>260</v>
      </c>
      <c r="D124" t="s">
        <v>260</v>
      </c>
      <c r="E124" t="s">
        <v>53</v>
      </c>
      <c r="F124" t="s">
        <v>53</v>
      </c>
      <c r="G124">
        <v>350.630697031762</v>
      </c>
      <c r="H124">
        <v>326.569083703205</v>
      </c>
      <c r="I124">
        <v>257.84095168965</v>
      </c>
      <c r="J124">
        <v>251.099989022754</v>
      </c>
    </row>
    <row r="125" spans="1:10">
      <c r="A125" t="s">
        <v>58</v>
      </c>
      <c r="B125" t="s">
        <v>261</v>
      </c>
      <c r="C125" t="s">
        <v>262</v>
      </c>
      <c r="D125" t="s">
        <v>262</v>
      </c>
      <c r="E125" t="s">
        <v>53</v>
      </c>
      <c r="F125" t="s">
        <v>53</v>
      </c>
      <c r="G125" t="s">
        <v>53</v>
      </c>
      <c r="H125">
        <v>676.619697440697</v>
      </c>
      <c r="I125">
        <v>599.403111196119</v>
      </c>
      <c r="J125">
        <v>551.866170173131</v>
      </c>
    </row>
    <row r="126" spans="1:10">
      <c r="A126" t="s">
        <v>50</v>
      </c>
      <c r="B126" t="s">
        <v>263</v>
      </c>
      <c r="C126" t="s">
        <v>264</v>
      </c>
      <c r="D126" t="s">
        <v>264</v>
      </c>
      <c r="E126" t="s">
        <v>53</v>
      </c>
      <c r="F126" t="s">
        <v>53</v>
      </c>
      <c r="G126" t="s">
        <v>53</v>
      </c>
      <c r="H126">
        <v>802.858284695396</v>
      </c>
      <c r="I126">
        <v>635.234109456152</v>
      </c>
      <c r="J126">
        <v>582.841199930041</v>
      </c>
    </row>
    <row r="127" spans="1:10">
      <c r="A127" t="s">
        <v>50</v>
      </c>
      <c r="B127" t="s">
        <v>265</v>
      </c>
      <c r="C127" t="s">
        <v>266</v>
      </c>
      <c r="D127" t="s">
        <v>266</v>
      </c>
      <c r="E127" t="s">
        <v>53</v>
      </c>
      <c r="F127" t="s">
        <v>53</v>
      </c>
      <c r="G127" t="s">
        <v>53</v>
      </c>
      <c r="H127">
        <v>453.663659194978</v>
      </c>
      <c r="I127">
        <v>381.730371506594</v>
      </c>
      <c r="J127">
        <v>366.408550814316</v>
      </c>
    </row>
    <row r="128" spans="1:10">
      <c r="A128" t="s">
        <v>50</v>
      </c>
      <c r="B128" t="s">
        <v>267</v>
      </c>
      <c r="C128" t="s">
        <v>268</v>
      </c>
      <c r="D128" t="s">
        <v>268</v>
      </c>
      <c r="E128" t="s">
        <v>53</v>
      </c>
      <c r="F128" t="s">
        <v>53</v>
      </c>
      <c r="G128" t="s">
        <v>53</v>
      </c>
      <c r="H128" t="s">
        <v>53</v>
      </c>
      <c r="I128">
        <v>320.399013967964</v>
      </c>
      <c r="J128">
        <v>338.619368449838</v>
      </c>
    </row>
    <row r="129" spans="1:10">
      <c r="A129" t="s">
        <v>58</v>
      </c>
      <c r="B129" t="s">
        <v>269</v>
      </c>
      <c r="C129" t="s">
        <v>270</v>
      </c>
      <c r="D129" t="s">
        <v>270</v>
      </c>
      <c r="E129" t="s">
        <v>53</v>
      </c>
      <c r="F129" t="s">
        <v>53</v>
      </c>
      <c r="G129" t="s">
        <v>53</v>
      </c>
      <c r="H129" t="s">
        <v>53</v>
      </c>
      <c r="I129">
        <v>873.843610902922</v>
      </c>
      <c r="J129">
        <v>769.736695624622</v>
      </c>
    </row>
    <row r="130" spans="1:10">
      <c r="A130" t="s">
        <v>27</v>
      </c>
      <c r="B130" t="s">
        <v>271</v>
      </c>
      <c r="C130" t="s">
        <v>272</v>
      </c>
      <c r="D130" t="s">
        <v>272</v>
      </c>
      <c r="E130" t="s">
        <v>53</v>
      </c>
      <c r="F130" t="s">
        <v>53</v>
      </c>
      <c r="G130" t="s">
        <v>53</v>
      </c>
      <c r="H130">
        <v>820.339377012571</v>
      </c>
      <c r="I130">
        <v>827.965843466345</v>
      </c>
      <c r="J130">
        <v>745.509179560098</v>
      </c>
    </row>
    <row r="131" spans="1:10">
      <c r="A131" t="s">
        <v>10</v>
      </c>
      <c r="B131" t="s">
        <v>273</v>
      </c>
      <c r="C131" t="s">
        <v>274</v>
      </c>
      <c r="D131" t="s">
        <v>274</v>
      </c>
      <c r="E131" t="s">
        <v>53</v>
      </c>
      <c r="F131" t="s">
        <v>53</v>
      </c>
      <c r="G131" t="s">
        <v>53</v>
      </c>
      <c r="H131">
        <v>330.087205825826</v>
      </c>
      <c r="I131">
        <v>295.330636529307</v>
      </c>
      <c r="J131">
        <v>261.232474967057</v>
      </c>
    </row>
    <row r="132" spans="1:10">
      <c r="A132" t="s">
        <v>27</v>
      </c>
      <c r="B132" t="s">
        <v>275</v>
      </c>
      <c r="C132" t="s">
        <v>276</v>
      </c>
      <c r="D132" t="s">
        <v>276</v>
      </c>
      <c r="E132" t="s">
        <v>53</v>
      </c>
      <c r="F132" t="s">
        <v>53</v>
      </c>
      <c r="G132" t="s">
        <v>53</v>
      </c>
      <c r="H132">
        <v>347.127751805528</v>
      </c>
      <c r="I132">
        <v>318.909405156378</v>
      </c>
      <c r="J132">
        <v>309.993024480463</v>
      </c>
    </row>
    <row r="133" spans="1:10">
      <c r="A133" t="s">
        <v>50</v>
      </c>
      <c r="B133" t="s">
        <v>277</v>
      </c>
      <c r="C133" t="s">
        <v>278</v>
      </c>
      <c r="D133" t="s">
        <v>278</v>
      </c>
      <c r="E133" t="s">
        <v>53</v>
      </c>
      <c r="F133" t="s">
        <v>53</v>
      </c>
      <c r="G133" t="s">
        <v>53</v>
      </c>
      <c r="H133" t="s">
        <v>53</v>
      </c>
      <c r="I133">
        <v>514.132590472655</v>
      </c>
      <c r="J133">
        <v>506.377593019657</v>
      </c>
    </row>
    <row r="134" spans="1:10">
      <c r="A134" t="s">
        <v>50</v>
      </c>
      <c r="B134" t="s">
        <v>279</v>
      </c>
      <c r="C134" t="s">
        <v>280</v>
      </c>
      <c r="D134" t="s">
        <v>280</v>
      </c>
      <c r="E134" t="s">
        <v>53</v>
      </c>
      <c r="F134" t="s">
        <v>53</v>
      </c>
      <c r="G134" t="s">
        <v>53</v>
      </c>
      <c r="H134" t="s">
        <v>53</v>
      </c>
      <c r="I134">
        <v>635.234109456152</v>
      </c>
      <c r="J134">
        <v>582.841199930041</v>
      </c>
    </row>
    <row r="135" spans="1:10">
      <c r="A135" t="s">
        <v>50</v>
      </c>
      <c r="B135" t="s">
        <v>281</v>
      </c>
      <c r="C135" t="s">
        <v>282</v>
      </c>
      <c r="D135" t="s">
        <v>282</v>
      </c>
      <c r="E135" t="s">
        <v>53</v>
      </c>
      <c r="F135" t="s">
        <v>53</v>
      </c>
      <c r="G135" t="s">
        <v>53</v>
      </c>
      <c r="H135">
        <v>451.20180922547</v>
      </c>
      <c r="I135">
        <v>373.250018654613</v>
      </c>
      <c r="J135">
        <v>356.558765306949</v>
      </c>
    </row>
    <row r="136" spans="1:10">
      <c r="A136" t="s">
        <v>50</v>
      </c>
      <c r="B136" t="s">
        <v>283</v>
      </c>
      <c r="C136" t="s">
        <v>284</v>
      </c>
      <c r="D136" t="s">
        <v>284</v>
      </c>
      <c r="E136" t="s">
        <v>53</v>
      </c>
      <c r="F136" t="s">
        <v>53</v>
      </c>
      <c r="G136" t="s">
        <v>53</v>
      </c>
      <c r="H136" t="s">
        <v>53</v>
      </c>
      <c r="I136">
        <v>324.059042208232</v>
      </c>
      <c r="J136">
        <v>343.139042318112</v>
      </c>
    </row>
    <row r="137" spans="1:10">
      <c r="A137" t="s">
        <v>27</v>
      </c>
      <c r="B137" t="s">
        <v>285</v>
      </c>
      <c r="C137" t="s">
        <v>286</v>
      </c>
      <c r="D137" t="s">
        <v>286</v>
      </c>
      <c r="E137" t="s">
        <v>53</v>
      </c>
      <c r="F137" t="s">
        <v>53</v>
      </c>
      <c r="G137" t="s">
        <v>53</v>
      </c>
      <c r="H137">
        <v>749.303860866243</v>
      </c>
      <c r="I137">
        <v>639.505786848748</v>
      </c>
      <c r="J137">
        <v>604.381323385634</v>
      </c>
    </row>
    <row r="138" spans="1:10">
      <c r="A138" t="s">
        <v>10</v>
      </c>
      <c r="B138" t="s">
        <v>287</v>
      </c>
      <c r="C138" t="s">
        <v>288</v>
      </c>
      <c r="D138" t="s">
        <v>288</v>
      </c>
      <c r="E138" t="s">
        <v>53</v>
      </c>
      <c r="F138" t="s">
        <v>53</v>
      </c>
      <c r="G138" t="s">
        <v>53</v>
      </c>
      <c r="H138">
        <v>697.197414894714</v>
      </c>
      <c r="I138">
        <v>648.069019591976</v>
      </c>
      <c r="J138">
        <v>519.865653767298</v>
      </c>
    </row>
    <row r="139" spans="1:10">
      <c r="A139" t="s">
        <v>10</v>
      </c>
      <c r="B139" t="s">
        <v>289</v>
      </c>
      <c r="C139" t="s">
        <v>290</v>
      </c>
      <c r="D139" t="s">
        <v>290</v>
      </c>
      <c r="E139" t="s">
        <v>53</v>
      </c>
      <c r="F139" t="s">
        <v>53</v>
      </c>
      <c r="G139" t="s">
        <v>53</v>
      </c>
      <c r="H139">
        <v>921.817855290174</v>
      </c>
      <c r="I139">
        <v>855.354124995249</v>
      </c>
      <c r="J139">
        <v>683.505845132308</v>
      </c>
    </row>
    <row r="140" spans="1:10">
      <c r="A140" t="s">
        <v>10</v>
      </c>
      <c r="B140" t="s">
        <v>291</v>
      </c>
      <c r="C140" t="s">
        <v>292</v>
      </c>
      <c r="D140" t="s">
        <v>292</v>
      </c>
      <c r="E140" t="s">
        <v>53</v>
      </c>
      <c r="F140" t="s">
        <v>53</v>
      </c>
      <c r="G140" t="s">
        <v>53</v>
      </c>
      <c r="H140">
        <v>816.24015261789</v>
      </c>
      <c r="I140">
        <v>741.867908731294</v>
      </c>
      <c r="J140">
        <v>594.556605906531</v>
      </c>
    </row>
    <row r="141" spans="1:10">
      <c r="A141" t="s">
        <v>10</v>
      </c>
      <c r="B141" t="s">
        <v>293</v>
      </c>
      <c r="C141" t="s">
        <v>294</v>
      </c>
      <c r="D141" t="s">
        <v>294</v>
      </c>
      <c r="E141" t="s">
        <v>53</v>
      </c>
      <c r="F141" t="s">
        <v>53</v>
      </c>
      <c r="G141" t="s">
        <v>53</v>
      </c>
      <c r="H141">
        <v>816.24015261789</v>
      </c>
      <c r="I141">
        <v>741.867908731294</v>
      </c>
      <c r="J141">
        <v>594.556605906531</v>
      </c>
    </row>
    <row r="142" spans="1:10">
      <c r="A142" t="s">
        <v>10</v>
      </c>
      <c r="B142" t="s">
        <v>295</v>
      </c>
      <c r="C142" t="s">
        <v>296</v>
      </c>
      <c r="D142" t="s">
        <v>296</v>
      </c>
      <c r="E142" t="s">
        <v>53</v>
      </c>
      <c r="F142" t="s">
        <v>53</v>
      </c>
      <c r="G142" t="s">
        <v>53</v>
      </c>
      <c r="H142">
        <v>1021.87991135987</v>
      </c>
      <c r="I142">
        <v>896.631137565126</v>
      </c>
      <c r="J142">
        <v>728.72216329396</v>
      </c>
    </row>
    <row r="143" spans="1:10">
      <c r="A143" t="s">
        <v>10</v>
      </c>
      <c r="B143" t="s">
        <v>297</v>
      </c>
      <c r="C143" t="s">
        <v>298</v>
      </c>
      <c r="D143" t="s">
        <v>298</v>
      </c>
      <c r="E143" t="s">
        <v>53</v>
      </c>
      <c r="F143" t="s">
        <v>53</v>
      </c>
      <c r="G143" t="s">
        <v>53</v>
      </c>
      <c r="H143">
        <v>816.24015261789</v>
      </c>
      <c r="I143">
        <v>741.867908731294</v>
      </c>
      <c r="J143">
        <v>594.556605906531</v>
      </c>
    </row>
    <row r="144" spans="1:10">
      <c r="A144" t="s">
        <v>10</v>
      </c>
      <c r="B144" t="s">
        <v>299</v>
      </c>
      <c r="C144" t="s">
        <v>300</v>
      </c>
      <c r="D144" t="s">
        <v>300</v>
      </c>
      <c r="E144" t="s">
        <v>53</v>
      </c>
      <c r="F144" t="s">
        <v>53</v>
      </c>
      <c r="G144" t="s">
        <v>53</v>
      </c>
      <c r="H144">
        <v>921.817855290174</v>
      </c>
      <c r="I144">
        <v>855.354124995249</v>
      </c>
      <c r="J144">
        <v>683.505845132308</v>
      </c>
    </row>
    <row r="145" spans="1:10">
      <c r="A145" t="s">
        <v>10</v>
      </c>
      <c r="B145" t="s">
        <v>301</v>
      </c>
      <c r="C145" t="s">
        <v>302</v>
      </c>
      <c r="D145" t="s">
        <v>302</v>
      </c>
      <c r="E145" t="s">
        <v>53</v>
      </c>
      <c r="F145" t="s">
        <v>53</v>
      </c>
      <c r="G145" t="s">
        <v>53</v>
      </c>
      <c r="H145">
        <v>696.09038150813</v>
      </c>
      <c r="I145">
        <v>643.039934960742</v>
      </c>
      <c r="J145">
        <v>521.564142018709</v>
      </c>
    </row>
    <row r="146" spans="1:10">
      <c r="A146" t="s">
        <v>10</v>
      </c>
      <c r="B146" t="s">
        <v>303</v>
      </c>
      <c r="C146" t="s">
        <v>304</v>
      </c>
      <c r="D146" t="s">
        <v>304</v>
      </c>
      <c r="E146" t="s">
        <v>53</v>
      </c>
      <c r="F146" t="s">
        <v>53</v>
      </c>
      <c r="G146" t="s">
        <v>53</v>
      </c>
      <c r="H146">
        <v>697.197414894714</v>
      </c>
      <c r="I146">
        <v>648.069019591976</v>
      </c>
      <c r="J146">
        <v>519.865653767298</v>
      </c>
    </row>
    <row r="147" spans="1:10">
      <c r="A147" t="s">
        <v>10</v>
      </c>
      <c r="B147" t="s">
        <v>305</v>
      </c>
      <c r="C147" t="s">
        <v>306</v>
      </c>
      <c r="D147" t="s">
        <v>306</v>
      </c>
      <c r="E147" t="s">
        <v>53</v>
      </c>
      <c r="F147" t="s">
        <v>53</v>
      </c>
      <c r="G147" t="s">
        <v>53</v>
      </c>
      <c r="H147">
        <v>697.197414894714</v>
      </c>
      <c r="I147">
        <v>648.069019591976</v>
      </c>
      <c r="J147">
        <v>519.865653767298</v>
      </c>
    </row>
    <row r="148" spans="1:10">
      <c r="A148" t="s">
        <v>50</v>
      </c>
      <c r="B148" t="s">
        <v>307</v>
      </c>
      <c r="C148" t="s">
        <v>308</v>
      </c>
      <c r="D148" t="s">
        <v>308</v>
      </c>
      <c r="E148" t="s">
        <v>53</v>
      </c>
      <c r="F148" t="s">
        <v>53</v>
      </c>
      <c r="G148" t="s">
        <v>53</v>
      </c>
      <c r="H148" t="s">
        <v>53</v>
      </c>
      <c r="I148">
        <v>1325.80037266292</v>
      </c>
      <c r="J148">
        <v>1199.02744512726</v>
      </c>
    </row>
    <row r="149" spans="1:10">
      <c r="A149" t="s">
        <v>10</v>
      </c>
      <c r="B149" t="s">
        <v>309</v>
      </c>
      <c r="C149" t="s">
        <v>310</v>
      </c>
      <c r="D149" t="s">
        <v>310</v>
      </c>
      <c r="E149" t="s">
        <v>53</v>
      </c>
      <c r="F149" t="s">
        <v>53</v>
      </c>
      <c r="G149" t="s">
        <v>53</v>
      </c>
      <c r="H149">
        <v>1021.87991135987</v>
      </c>
      <c r="I149">
        <v>896.631137565126</v>
      </c>
      <c r="J149">
        <v>728.72216329396</v>
      </c>
    </row>
    <row r="150" spans="1:10">
      <c r="A150" t="s">
        <v>50</v>
      </c>
      <c r="B150" t="s">
        <v>311</v>
      </c>
      <c r="C150" t="s">
        <v>312</v>
      </c>
      <c r="D150" t="s">
        <v>312</v>
      </c>
      <c r="E150" t="s">
        <v>53</v>
      </c>
      <c r="F150" t="s">
        <v>53</v>
      </c>
      <c r="G150" t="s">
        <v>53</v>
      </c>
      <c r="H150" t="s">
        <v>53</v>
      </c>
      <c r="I150">
        <v>483.640153118183</v>
      </c>
      <c r="J150">
        <v>504.676215129207</v>
      </c>
    </row>
    <row r="151" spans="1:10">
      <c r="A151" t="s">
        <v>50</v>
      </c>
      <c r="B151" t="s">
        <v>313</v>
      </c>
      <c r="C151" t="s">
        <v>314</v>
      </c>
      <c r="D151" t="s">
        <v>314</v>
      </c>
      <c r="E151" t="s">
        <v>53</v>
      </c>
      <c r="F151" t="s">
        <v>53</v>
      </c>
      <c r="G151" t="s">
        <v>53</v>
      </c>
      <c r="H151" t="s">
        <v>53</v>
      </c>
      <c r="I151">
        <v>1218.90647170781</v>
      </c>
      <c r="J151">
        <v>985.638580087891</v>
      </c>
    </row>
    <row r="152" spans="1:10">
      <c r="A152" t="s">
        <v>50</v>
      </c>
      <c r="B152" t="s">
        <v>315</v>
      </c>
      <c r="C152" t="s">
        <v>316</v>
      </c>
      <c r="D152" t="s">
        <v>316</v>
      </c>
      <c r="E152" t="s">
        <v>53</v>
      </c>
      <c r="F152" t="s">
        <v>53</v>
      </c>
      <c r="G152" t="s">
        <v>53</v>
      </c>
      <c r="H152" t="s">
        <v>53</v>
      </c>
      <c r="I152">
        <v>1082.30676422819</v>
      </c>
      <c r="J152">
        <v>929.810477809971</v>
      </c>
    </row>
    <row r="153" spans="1:10">
      <c r="A153" t="s">
        <v>50</v>
      </c>
      <c r="B153" t="s">
        <v>317</v>
      </c>
      <c r="C153" t="s">
        <v>318</v>
      </c>
      <c r="D153" t="s">
        <v>318</v>
      </c>
      <c r="E153" t="s">
        <v>53</v>
      </c>
      <c r="F153" t="s">
        <v>53</v>
      </c>
      <c r="G153" t="s">
        <v>53</v>
      </c>
      <c r="H153" t="s">
        <v>53</v>
      </c>
      <c r="I153">
        <v>320.399013967964</v>
      </c>
      <c r="J153">
        <v>338.619368449838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D8" sqref="D8"/>
    </sheetView>
  </sheetViews>
  <sheetFormatPr defaultColWidth="9" defaultRowHeight="16.8" outlineLevelRow="6" outlineLevelCol="5"/>
  <cols>
    <col min="4" max="4" width="13.8125"/>
  </cols>
  <sheetData>
    <row r="1" spans="1:6">
      <c r="A1" s="1" t="s">
        <v>319</v>
      </c>
      <c r="B1" s="1" t="s">
        <v>320</v>
      </c>
      <c r="C1" s="1" t="s">
        <v>321</v>
      </c>
      <c r="D1" s="1" t="s">
        <v>322</v>
      </c>
      <c r="E1" s="1" t="s">
        <v>323</v>
      </c>
      <c r="F1" s="1" t="s">
        <v>324</v>
      </c>
    </row>
    <row r="2" spans="1:6">
      <c r="A2" t="s">
        <v>325</v>
      </c>
      <c r="B2" t="s">
        <v>326</v>
      </c>
      <c r="C2" t="s">
        <v>327</v>
      </c>
      <c r="D2">
        <v>-0.119831811369985</v>
      </c>
      <c r="E2">
        <v>47</v>
      </c>
      <c r="F2">
        <v>-11.9831811369985</v>
      </c>
    </row>
    <row r="3" spans="1:6">
      <c r="A3" t="s">
        <v>326</v>
      </c>
      <c r="B3" t="s">
        <v>328</v>
      </c>
      <c r="C3" t="s">
        <v>329</v>
      </c>
      <c r="D3">
        <v>-0.163407242617714</v>
      </c>
      <c r="E3">
        <v>86</v>
      </c>
      <c r="F3">
        <v>-16.3407242617714</v>
      </c>
    </row>
    <row r="4" spans="1:6">
      <c r="A4" t="s">
        <v>328</v>
      </c>
      <c r="B4" t="s">
        <v>330</v>
      </c>
      <c r="C4" t="s">
        <v>331</v>
      </c>
      <c r="D4">
        <v>-0.169272804065904</v>
      </c>
      <c r="E4">
        <v>118</v>
      </c>
      <c r="F4">
        <v>-16.9272804065904</v>
      </c>
    </row>
    <row r="5" spans="1:6">
      <c r="A5" t="s">
        <v>330</v>
      </c>
      <c r="B5" t="s">
        <v>332</v>
      </c>
      <c r="C5" t="s">
        <v>333</v>
      </c>
      <c r="D5">
        <v>-0.163072434885194</v>
      </c>
      <c r="E5">
        <v>142</v>
      </c>
      <c r="F5">
        <v>-16.3072434885195</v>
      </c>
    </row>
    <row r="6" spans="1:6">
      <c r="A6" t="s">
        <v>332</v>
      </c>
      <c r="B6" t="s">
        <v>334</v>
      </c>
      <c r="C6" t="s">
        <v>335</v>
      </c>
      <c r="D6">
        <v>-0.124758256689335</v>
      </c>
      <c r="E6">
        <v>148</v>
      </c>
      <c r="F6">
        <v>-12.4758256689335</v>
      </c>
    </row>
    <row r="7" spans="4:4">
      <c r="D7">
        <f>SUM(D2:D6)</f>
        <v>-0.740342549628134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6.8" outlineLevelRow="3" outlineLevelCol="1"/>
  <sheetData>
    <row r="1" spans="1:2">
      <c r="A1" s="1" t="s">
        <v>336</v>
      </c>
      <c r="B1" s="1" t="s">
        <v>337</v>
      </c>
    </row>
    <row r="2" spans="1:2">
      <c r="A2" t="s">
        <v>338</v>
      </c>
      <c r="B2">
        <v>152</v>
      </c>
    </row>
    <row r="3" spans="1:2">
      <c r="A3" t="s">
        <v>339</v>
      </c>
      <c r="B3">
        <v>152</v>
      </c>
    </row>
    <row r="4" spans="1:2">
      <c r="A4" t="s">
        <v>340</v>
      </c>
      <c r="B4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Predicted_Prices</vt:lpstr>
      <vt:lpstr>Adjacent Predicted Years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DJ</cp:lastModifiedBy>
  <dcterms:created xsi:type="dcterms:W3CDTF">2025-12-04T12:04:00Z</dcterms:created>
  <dcterms:modified xsi:type="dcterms:W3CDTF">2025-12-04T15:42:33Z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1033-6.7.1.8828</vt:lpwstr>
  </property>
  <property fmtid="{D5CDD505-2E9C-101B-9397-08002B2CF9AE}" pid="3" name="ICV">
    <vt:lpwstr>F014641E3FA4E92D39F23169098CF20C_42</vt:lpwstr>
  </property>
</Properties>
</file>