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3300"/>
  </bookViews>
  <sheets>
    <sheet name="Adjacent Years" sheetId="1" r:id="rId1"/>
    <sheet name="All Year Pairs" sheetId="2" r:id="rId2"/>
    <sheet name="Annual_Price_Data" sheetId="3" r:id="rId3"/>
    <sheet name="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<sst xmlns="http://schemas.openxmlformats.org/spreadsheetml/2006/main" count="2600" uniqueCount="566">
  <si>
    <t>Base Year</t>
  </si>
  <si>
    <t>Current Year</t>
  </si>
  <si>
    <t>Period</t>
  </si>
  <si>
    <t>Jevons Index</t>
  </si>
  <si>
    <t>Number of Products</t>
  </si>
  <si>
    <t>Price Change (%)</t>
  </si>
  <si>
    <t>2018</t>
  </si>
  <si>
    <t>2019</t>
  </si>
  <si>
    <t>2018 → 2019</t>
  </si>
  <si>
    <t>2020</t>
  </si>
  <si>
    <t>2019 → 2020</t>
  </si>
  <si>
    <t>2021</t>
  </si>
  <si>
    <t>2020 → 2021</t>
  </si>
  <si>
    <t>2022</t>
  </si>
  <si>
    <t>2021 → 2022</t>
  </si>
  <si>
    <t>2023</t>
  </si>
  <si>
    <t>2022 → 2023</t>
  </si>
  <si>
    <t>2024</t>
  </si>
  <si>
    <t>2023 → 2024</t>
  </si>
  <si>
    <t>2025</t>
  </si>
  <si>
    <t>2024 → 2025</t>
  </si>
  <si>
    <t>Years Apart</t>
  </si>
  <si>
    <t>2018 → 2020</t>
  </si>
  <si>
    <t>2018 → 2021</t>
  </si>
  <si>
    <t>2018 → 2022</t>
  </si>
  <si>
    <t>2018 → 2023</t>
  </si>
  <si>
    <t>2018 → 2024</t>
  </si>
  <si>
    <t>2018 → 2025</t>
  </si>
  <si>
    <t>2019 → 2021</t>
  </si>
  <si>
    <t>2019 → 2022</t>
  </si>
  <si>
    <t>2019 → 2023</t>
  </si>
  <si>
    <t>2019 → 2024</t>
  </si>
  <si>
    <t>2019 → 2025</t>
  </si>
  <si>
    <t>2020 → 2022</t>
  </si>
  <si>
    <t>2020 → 2023</t>
  </si>
  <si>
    <t>2020 → 2024</t>
  </si>
  <si>
    <t>2020 → 2025</t>
  </si>
  <si>
    <t>2021 → 2023</t>
  </si>
  <si>
    <t>2021 → 2024</t>
  </si>
  <si>
    <t>2021 → 2025</t>
  </si>
  <si>
    <t>2022 → 2024</t>
  </si>
  <si>
    <t>2022 → 2025</t>
  </si>
  <si>
    <t>2023 → 2025</t>
  </si>
  <si>
    <t>Company Name</t>
  </si>
  <si>
    <t>Model Name</t>
  </si>
  <si>
    <t>Mobile Weight</t>
  </si>
  <si>
    <t>RAM</t>
  </si>
  <si>
    <t>Front Camera</t>
  </si>
  <si>
    <t>Back Camera</t>
  </si>
  <si>
    <t>Max_MP</t>
  </si>
  <si>
    <t>Num_Cameras</t>
  </si>
  <si>
    <t>Processor</t>
  </si>
  <si>
    <t>Processor Level</t>
  </si>
  <si>
    <t>Battery Capacity</t>
  </si>
  <si>
    <t>Screen Size</t>
  </si>
  <si>
    <t>ASIN1</t>
  </si>
  <si>
    <t>ASIN2</t>
  </si>
  <si>
    <t>Apple</t>
  </si>
  <si>
    <t>iPhone XS Max 64GB</t>
  </si>
  <si>
    <t>208g</t>
  </si>
  <si>
    <t>4GB</t>
  </si>
  <si>
    <t>7MP</t>
  </si>
  <si>
    <t>12MP + 12MP</t>
  </si>
  <si>
    <t>A12 Bionic</t>
  </si>
  <si>
    <t>flagship</t>
  </si>
  <si>
    <t>3,174mAh</t>
  </si>
  <si>
    <t>6.5 inches</t>
  </si>
  <si>
    <t>B07K8RNW7H</t>
  </si>
  <si>
    <t>iPhone XS Max 256GB</t>
  </si>
  <si>
    <t>B07KFNRQ5S</t>
  </si>
  <si>
    <t>iPhone XS Max 512GB</t>
  </si>
  <si>
    <t>B07P6298Y8</t>
  </si>
  <si>
    <t/>
  </si>
  <si>
    <t>iPhone XR 64GB</t>
  </si>
  <si>
    <t>194g</t>
  </si>
  <si>
    <t>3GB</t>
  </si>
  <si>
    <t>2,942mAh</t>
  </si>
  <si>
    <t>6.1 inches</t>
  </si>
  <si>
    <t>B07P6Y7954</t>
  </si>
  <si>
    <t>iPhone XR 256GB</t>
  </si>
  <si>
    <t>B07P6Y7JW1</t>
  </si>
  <si>
    <t>iPhone XR 128GB</t>
  </si>
  <si>
    <t>B07P976BBH</t>
  </si>
  <si>
    <t>iPhone XS 64GB</t>
  </si>
  <si>
    <t>177g</t>
  </si>
  <si>
    <t>2,658mAh</t>
  </si>
  <si>
    <t>5.8 inches</t>
  </si>
  <si>
    <t>B07SC58QBW</t>
  </si>
  <si>
    <t>iPhone XS 256GB</t>
  </si>
  <si>
    <t>B07TJBCC7H</t>
  </si>
  <si>
    <t>Samsung</t>
  </si>
  <si>
    <t>Galaxy Note 10 256GB</t>
  </si>
  <si>
    <t>168g</t>
  </si>
  <si>
    <t>8GB</t>
  </si>
  <si>
    <t>10MP</t>
  </si>
  <si>
    <t>12MP + 16MP</t>
  </si>
  <si>
    <t>Exynos 9825</t>
  </si>
  <si>
    <t>3500mAh</t>
  </si>
  <si>
    <t>6.3 inches</t>
  </si>
  <si>
    <t>B07Z3XZDT5</t>
  </si>
  <si>
    <t>Galaxy Note 10+ 512GB</t>
  </si>
  <si>
    <t>196g</t>
  </si>
  <si>
    <t>12GB</t>
  </si>
  <si>
    <t>4300mAh</t>
  </si>
  <si>
    <t>6.8 inches</t>
  </si>
  <si>
    <t>B07Z45BH81</t>
  </si>
  <si>
    <t>iPhone 11 64GB</t>
  </si>
  <si>
    <t>12MP</t>
  </si>
  <si>
    <t>A13 Bionic</t>
  </si>
  <si>
    <t>3,110mAh</t>
  </si>
  <si>
    <t>B07ZPKN6YR</t>
  </si>
  <si>
    <t>iPhone 11 128GB</t>
  </si>
  <si>
    <t>B07ZPKR714</t>
  </si>
  <si>
    <t>iPhone 11 Pro 64GB</t>
  </si>
  <si>
    <t>188g</t>
  </si>
  <si>
    <t>12MP / 4K</t>
  </si>
  <si>
    <t>12MP + 12MP + 12MP</t>
  </si>
  <si>
    <t>3,046mAh</t>
  </si>
  <si>
    <t>B07ZPKZSSC</t>
  </si>
  <si>
    <t>iPhone 11 256GB</t>
  </si>
  <si>
    <t>B07ZPL6Y2D</t>
  </si>
  <si>
    <t>iPhone 11 Pro 256GB</t>
  </si>
  <si>
    <t>B07ZQRL9XY</t>
  </si>
  <si>
    <t>iPhone 11 Pro Max 512GB</t>
  </si>
  <si>
    <t>226g</t>
  </si>
  <si>
    <t>3,969mAh</t>
  </si>
  <si>
    <t>B07ZQRW6N1</t>
  </si>
  <si>
    <t>iPhone 11 Pro Max 64GB</t>
  </si>
  <si>
    <t>B07ZQSQSBM</t>
  </si>
  <si>
    <t>iPhone 11 Pro 512GB</t>
  </si>
  <si>
    <t>B07ZQSQXCW</t>
  </si>
  <si>
    <t>iPhone 11 Pro Max 256GB</t>
  </si>
  <si>
    <t>B07ZQSSKY4</t>
  </si>
  <si>
    <t>Oppo</t>
  </si>
  <si>
    <t>Find N2 Flip 256GB</t>
  </si>
  <si>
    <t>191g</t>
  </si>
  <si>
    <t>32MP</t>
  </si>
  <si>
    <t>50MP + 8MP</t>
  </si>
  <si>
    <t>Dimensity 9000+</t>
  </si>
  <si>
    <t>B082F1QKHK</t>
  </si>
  <si>
    <t>Galaxy Note 10+ 256GB</t>
  </si>
  <si>
    <t>B0845ZVJW3</t>
  </si>
  <si>
    <t>iPhone XS 512GB</t>
  </si>
  <si>
    <t>B085P2R3DQ</t>
  </si>
  <si>
    <t>OnePlus</t>
  </si>
  <si>
    <t>OnePlus 7 Pro 5G 256GB</t>
  </si>
  <si>
    <t>206g</t>
  </si>
  <si>
    <t>16MP</t>
  </si>
  <si>
    <t>48MP + 8MP</t>
  </si>
  <si>
    <t>Snapdragon 855</t>
  </si>
  <si>
    <t>4000mAh</t>
  </si>
  <si>
    <t>6.67 inches</t>
  </si>
  <si>
    <t>B085PZQPFX</t>
  </si>
  <si>
    <t>OnePlus 8 Pro 256GB</t>
  </si>
  <si>
    <t>199g</t>
  </si>
  <si>
    <t>48MP + 48MP</t>
  </si>
  <si>
    <t>Snapdragon 865</t>
  </si>
  <si>
    <t>4510mAh</t>
  </si>
  <si>
    <t>6.78 inches</t>
  </si>
  <si>
    <t>B08HCTH2MH</t>
  </si>
  <si>
    <t>Galaxy Note 20 Ultra 128GB</t>
  </si>
  <si>
    <t>108MP + 12MP</t>
  </si>
  <si>
    <t>Exynos 990</t>
  </si>
  <si>
    <t>4500mAh</t>
  </si>
  <si>
    <t>6.9 inches</t>
  </si>
  <si>
    <t>B08HL64JS8</t>
  </si>
  <si>
    <t>iPhone 12 Pro Max 256GB</t>
  </si>
  <si>
    <t>228g</t>
  </si>
  <si>
    <t>6GB</t>
  </si>
  <si>
    <t>A14 Bionic</t>
  </si>
  <si>
    <t>3,687mAh</t>
  </si>
  <si>
    <t>6.7 inches</t>
  </si>
  <si>
    <t>B08PMKQP79</t>
  </si>
  <si>
    <t>iPhone 12 Pro Max 128GB</t>
  </si>
  <si>
    <t>B08PMP778K</t>
  </si>
  <si>
    <t>iPhone 12 Pro Max 512GB</t>
  </si>
  <si>
    <t>B08PMTFVZK</t>
  </si>
  <si>
    <t>iPhone 12 Pro 128GB</t>
  </si>
  <si>
    <t>189g</t>
  </si>
  <si>
    <t>2,815mAh</t>
  </si>
  <si>
    <t>B08PMYLKVF</t>
  </si>
  <si>
    <t>iPhone 12 Pro 512GB</t>
  </si>
  <si>
    <t>B08PN8R5HT</t>
  </si>
  <si>
    <t>iPhone 12 Pro 256GB</t>
  </si>
  <si>
    <t>B08PNHB9L7</t>
  </si>
  <si>
    <t>iPhone 12 mini 128GB</t>
  </si>
  <si>
    <t>135g</t>
  </si>
  <si>
    <t>2,227mAh</t>
  </si>
  <si>
    <t>5.4 inches</t>
  </si>
  <si>
    <t>B08PNKN4J7</t>
  </si>
  <si>
    <t>iPhone 12 64GB</t>
  </si>
  <si>
    <t>164g</t>
  </si>
  <si>
    <t>B08PNM1LNZ</t>
  </si>
  <si>
    <t>iPhone 12 128GB</t>
  </si>
  <si>
    <t>B08PNXVB6B</t>
  </si>
  <si>
    <t>iPhone 12 256GB</t>
  </si>
  <si>
    <t>B08PP2GVNZ</t>
  </si>
  <si>
    <t>iPhone 12 mini 256GB</t>
  </si>
  <si>
    <t>B08PP8943S</t>
  </si>
  <si>
    <t>iPhone 12 mini 64GB</t>
  </si>
  <si>
    <t>B08PPDJWC8</t>
  </si>
  <si>
    <t>OnePlus 8 128GB</t>
  </si>
  <si>
    <t>180g</t>
  </si>
  <si>
    <t>48MP + 16MP</t>
  </si>
  <si>
    <t>6.55 inches</t>
  </si>
  <si>
    <t>B08R6MQ7BQ</t>
  </si>
  <si>
    <t>OnePlus Nord N10 5G 128GB</t>
  </si>
  <si>
    <t>190g</t>
  </si>
  <si>
    <t>64MP + 8MP</t>
  </si>
  <si>
    <t>Qualcomm Snapdragon 690</t>
  </si>
  <si>
    <t>midrange</t>
  </si>
  <si>
    <t>6.49 inches</t>
  </si>
  <si>
    <t>B08XJVZT4R</t>
  </si>
  <si>
    <t>OnePlus 9 Pro 256GB</t>
  </si>
  <si>
    <t>192g</t>
  </si>
  <si>
    <t>48MP + 50MP</t>
  </si>
  <si>
    <t>Snapdragon 888</t>
  </si>
  <si>
    <t>B093GS36QT</t>
  </si>
  <si>
    <t>OnePlus 9 128GB</t>
  </si>
  <si>
    <t>183g</t>
  </si>
  <si>
    <t>B093YSSN6T</t>
  </si>
  <si>
    <t>Galaxy Note 20 128GB</t>
  </si>
  <si>
    <t>B093ZCPS14</t>
  </si>
  <si>
    <t>OnePlus Nord 2 5G 128GB</t>
  </si>
  <si>
    <t>MediaTek Dimensity 1200-AI</t>
  </si>
  <si>
    <t>6.43 inches</t>
  </si>
  <si>
    <t>B099RPX1SG</t>
  </si>
  <si>
    <t>OnePlus Nord N200 64GB</t>
  </si>
  <si>
    <t>13MP + 2MP</t>
  </si>
  <si>
    <t>Snapdragon 480</t>
  </si>
  <si>
    <t>entry-level</t>
  </si>
  <si>
    <t>5000mAh</t>
  </si>
  <si>
    <t>B09BM2FZ3M</t>
  </si>
  <si>
    <t>OnePlus Nord N100 5G 64GB</t>
  </si>
  <si>
    <t>185g</t>
  </si>
  <si>
    <t>8MP</t>
  </si>
  <si>
    <t>Qualcomm Snapdragon 460</t>
  </si>
  <si>
    <t>6.52 inches</t>
  </si>
  <si>
    <t>B09D1BCGPP</t>
  </si>
  <si>
    <t>iPhone 13 mini 512GB</t>
  </si>
  <si>
    <t>140g</t>
  </si>
  <si>
    <t>A15 Bionic</t>
  </si>
  <si>
    <t>2,438mAh</t>
  </si>
  <si>
    <t>B09LKLGWYX</t>
  </si>
  <si>
    <t>iPhone 13 mini 256GB</t>
  </si>
  <si>
    <t>B09LKM34XN</t>
  </si>
  <si>
    <t>iPhone 13 mini 128GB</t>
  </si>
  <si>
    <t>B09LKXHWCF</t>
  </si>
  <si>
    <t>iPhone 13 256GB</t>
  </si>
  <si>
    <t>174g</t>
  </si>
  <si>
    <t>3,240mAh</t>
  </si>
  <si>
    <t>B09LNCVCKW</t>
  </si>
  <si>
    <t>iPhone 13 128GB</t>
  </si>
  <si>
    <t>B09LNKXBRJ</t>
  </si>
  <si>
    <t>iPhone 13 512GB</t>
  </si>
  <si>
    <t>B09LNZDS6Y</t>
  </si>
  <si>
    <t>iPhone 13 Pro 512GB</t>
  </si>
  <si>
    <t>204g</t>
  </si>
  <si>
    <t>3,095mAh</t>
  </si>
  <si>
    <t>B09LP988K8</t>
  </si>
  <si>
    <t>iPhone 13 Pro Max 512GB</t>
  </si>
  <si>
    <t>238g</t>
  </si>
  <si>
    <t>4,352mAh</t>
  </si>
  <si>
    <t>B09LPGFVYR</t>
  </si>
  <si>
    <t>B09LPB9SQH</t>
  </si>
  <si>
    <t>iPhone 13 Pro 128GB</t>
  </si>
  <si>
    <t>B09LPF7KC7</t>
  </si>
  <si>
    <t>iPhone 13 Pro Max 128GB</t>
  </si>
  <si>
    <t>B09LPK77YY</t>
  </si>
  <si>
    <t>iPhone 13 Pro 256GB</t>
  </si>
  <si>
    <t>B09LPN7C8Z</t>
  </si>
  <si>
    <t>iPhone 13 Pro Max 256GB</t>
  </si>
  <si>
    <t>OnePlus 8T 256GB</t>
  </si>
  <si>
    <t>B09Q1HT5GM</t>
  </si>
  <si>
    <t>Reno7 Pro 5G 256GB</t>
  </si>
  <si>
    <t>50MP + 8MP + 2MP</t>
  </si>
  <si>
    <t>Dimensity 1200</t>
  </si>
  <si>
    <t>4,500mAh</t>
  </si>
  <si>
    <t>B09QLS9KB9</t>
  </si>
  <si>
    <t>Find X5 256GB</t>
  </si>
  <si>
    <t>50MP + 50MP + 13MP</t>
  </si>
  <si>
    <t>4800mAh</t>
  </si>
  <si>
    <t>B09SQB87HR</t>
  </si>
  <si>
    <t>Find X5 Pro 256GB</t>
  </si>
  <si>
    <t>218g</t>
  </si>
  <si>
    <t>Snapdragon 8 Gen 1</t>
  </si>
  <si>
    <t>B09TBG1S1Y</t>
  </si>
  <si>
    <t>Galaxy S22 128GB</t>
  </si>
  <si>
    <t>167g</t>
  </si>
  <si>
    <t>50MP + 12MP</t>
  </si>
  <si>
    <t>Exynos 2200</t>
  </si>
  <si>
    <t>3800mAh</t>
  </si>
  <si>
    <t>B09V1NGFN4</t>
  </si>
  <si>
    <t>Reno7 5G 256GB</t>
  </si>
  <si>
    <t>173g</t>
  </si>
  <si>
    <t>64MP + 8MP + 2MP</t>
  </si>
  <si>
    <t>Dimensity 900</t>
  </si>
  <si>
    <t>6.4 inches</t>
  </si>
  <si>
    <t>B09VCCRQQC</t>
  </si>
  <si>
    <t>Galaxy S22 Ultra 128GB</t>
  </si>
  <si>
    <t>B09VD33WHW</t>
  </si>
  <si>
    <t>Galaxy S22+ 128GB</t>
  </si>
  <si>
    <t>195g</t>
  </si>
  <si>
    <t>6.6 inches</t>
  </si>
  <si>
    <t>B09VH9BKHS</t>
  </si>
  <si>
    <t>Galaxy S22 256GB</t>
  </si>
  <si>
    <t>B09VX9S6F9</t>
  </si>
  <si>
    <t>OnePlus Nord 2T 128GB</t>
  </si>
  <si>
    <t>MediaTek Dimensity 1300</t>
  </si>
  <si>
    <t>B09WVJ6125</t>
  </si>
  <si>
    <t>Reno8 5G 128GB</t>
  </si>
  <si>
    <t>179g</t>
  </si>
  <si>
    <t>Dimensity 1300</t>
  </si>
  <si>
    <t>B0B352LM95</t>
  </si>
  <si>
    <t>Galaxy Xcover 5 64GB</t>
  </si>
  <si>
    <t>172g</t>
  </si>
  <si>
    <t>5MP</t>
  </si>
  <si>
    <t>Exynos 850</t>
  </si>
  <si>
    <t>3000mAh</t>
  </si>
  <si>
    <t>5.3 inches</t>
  </si>
  <si>
    <t>B0B457HRNJ</t>
  </si>
  <si>
    <t>Galaxy S22 Ultra 256GB</t>
  </si>
  <si>
    <t>B0B5Y5H47D</t>
  </si>
  <si>
    <t>Galaxy S22+ 256GB</t>
  </si>
  <si>
    <t>B0B6D53G2V</t>
  </si>
  <si>
    <t>Reno8 Pro 5G 256GB</t>
  </si>
  <si>
    <t>Dimensity 8100</t>
  </si>
  <si>
    <t>B0B88S72TV</t>
  </si>
  <si>
    <t>OnePlus 10 Pro 256GB</t>
  </si>
  <si>
    <t>200g</t>
  </si>
  <si>
    <t>50MP + 48MP</t>
  </si>
  <si>
    <t>B0B981KM58</t>
  </si>
  <si>
    <t>Galaxy Z Fold 4 256GB</t>
  </si>
  <si>
    <t>263g</t>
  </si>
  <si>
    <t>4400mAh</t>
  </si>
  <si>
    <t>7.6 inches</t>
  </si>
  <si>
    <t>B0BD1P1396</t>
  </si>
  <si>
    <t>Reno8 5G 256GB</t>
  </si>
  <si>
    <t>B0BDT28R8B</t>
  </si>
  <si>
    <t>Reno7 5G 128GB</t>
  </si>
  <si>
    <t>B0BKRQKPZW</t>
  </si>
  <si>
    <t>Galaxy Z Fold 4 512GB</t>
  </si>
  <si>
    <t>B0BKTHWNV7</t>
  </si>
  <si>
    <t>Galaxy Z Flip 4 256GB</t>
  </si>
  <si>
    <t>187g</t>
  </si>
  <si>
    <t>3700mAh</t>
  </si>
  <si>
    <t>B0BKTLMV59</t>
  </si>
  <si>
    <t>Galaxy Z Flip 4 512GB</t>
  </si>
  <si>
    <t>B0BKTLR7VR</t>
  </si>
  <si>
    <t>iPhone 14 128GB</t>
  </si>
  <si>
    <t>3,200mAh</t>
  </si>
  <si>
    <t>B0BN72FYFG</t>
  </si>
  <si>
    <t>iPhone 14 256GB</t>
  </si>
  <si>
    <t>B0BN72MLT2</t>
  </si>
  <si>
    <t>iPhone 14 512GB</t>
  </si>
  <si>
    <t>B0BN7CXGWG</t>
  </si>
  <si>
    <t>iPhone 14 Pro Max 256GB</t>
  </si>
  <si>
    <t>221g</t>
  </si>
  <si>
    <t>48MP + 12MP</t>
  </si>
  <si>
    <t>A16 Bionic</t>
  </si>
  <si>
    <t>B0BN93P98N</t>
  </si>
  <si>
    <t>iPhone 14 Plus 128GB</t>
  </si>
  <si>
    <t>203g</t>
  </si>
  <si>
    <t>4,325mAh</t>
  </si>
  <si>
    <t>B0BN9426PP</t>
  </si>
  <si>
    <t>iPhone 14 Pro Max 128GB</t>
  </si>
  <si>
    <t>B0BN94DL3R</t>
  </si>
  <si>
    <t>iPhone 14 Plus 256GB</t>
  </si>
  <si>
    <t>B0BN94GXPV</t>
  </si>
  <si>
    <t>iPhone 14 Pro Max 512GB</t>
  </si>
  <si>
    <t>B0BN952L3Y</t>
  </si>
  <si>
    <t>iPhone 14 Pro 128GB</t>
  </si>
  <si>
    <t>4,200mAh</t>
  </si>
  <si>
    <t>B0BN95FRW9</t>
  </si>
  <si>
    <t>iPhone 14 Pro 256GB</t>
  </si>
  <si>
    <t>B0BN96CCM6</t>
  </si>
  <si>
    <t>iPhone 14 Pro 512GB</t>
  </si>
  <si>
    <t>B0BN96QJ94</t>
  </si>
  <si>
    <t>iPhone 14 Plus 512GB</t>
  </si>
  <si>
    <t>B0BN97HDLB</t>
  </si>
  <si>
    <t>OnePlus 11 256GB</t>
  </si>
  <si>
    <t>205g</t>
  </si>
  <si>
    <t>B0BNWPSCGB</t>
  </si>
  <si>
    <t>Galaxy Xcover 6 Pro 128GB</t>
  </si>
  <si>
    <t>235g</t>
  </si>
  <si>
    <t>13MP</t>
  </si>
  <si>
    <t>50MP</t>
  </si>
  <si>
    <t>Exynos 1380</t>
  </si>
  <si>
    <t>4050mAh</t>
  </si>
  <si>
    <t>B0BSCHC7TS</t>
  </si>
  <si>
    <t>Galaxy A04 64GB</t>
  </si>
  <si>
    <t>50MP + 2MP</t>
  </si>
  <si>
    <t>B0BV4N3VJZ</t>
  </si>
  <si>
    <t>Galaxy A34 256GB</t>
  </si>
  <si>
    <t>MediaTek Dimensity 1080</t>
  </si>
  <si>
    <t>B0BWS9YGRL</t>
  </si>
  <si>
    <t>OnePlus Nord CE 3 Lite 256GB</t>
  </si>
  <si>
    <t>108MP</t>
  </si>
  <si>
    <t>Snapdragon 695</t>
  </si>
  <si>
    <t>6.72 inches</t>
  </si>
  <si>
    <t>B0C1761WGM</t>
  </si>
  <si>
    <t>Galaxy A24 128GB</t>
  </si>
  <si>
    <t>50MP + 5MP</t>
  </si>
  <si>
    <t>MediaTek Helio G99</t>
  </si>
  <si>
    <t>B0C3RYM3GG</t>
  </si>
  <si>
    <t>Galaxy A54 128GB</t>
  </si>
  <si>
    <t>B0C4BFVH4W</t>
  </si>
  <si>
    <t>Galaxy S23+ 256GB</t>
  </si>
  <si>
    <t>Snapdragon 8 Gen 2</t>
  </si>
  <si>
    <t>4700mAh</t>
  </si>
  <si>
    <t>B0C4Q796XC</t>
  </si>
  <si>
    <t>Galaxy S23 Ultra 256GB</t>
  </si>
  <si>
    <t>200MP + 12MP</t>
  </si>
  <si>
    <t>B0C5443MCX</t>
  </si>
  <si>
    <t>Galaxy S23 128GB</t>
  </si>
  <si>
    <t>3900mAh</t>
  </si>
  <si>
    <t>B0C5B736X3</t>
  </si>
  <si>
    <t>Galaxy A54 256GB</t>
  </si>
  <si>
    <t>B0C63HBWD2</t>
  </si>
  <si>
    <t>Galaxy S23 256GB</t>
  </si>
  <si>
    <t>B0C79RKMYB</t>
  </si>
  <si>
    <t>OnePlus 10T 5G 256GB</t>
  </si>
  <si>
    <t>Snapdragon 8+ Gen 1</t>
  </si>
  <si>
    <t>B0CBL8D3Y3</t>
  </si>
  <si>
    <t>Reno10 5G 256GB</t>
  </si>
  <si>
    <t>64MP + 32MP + 8MP</t>
  </si>
  <si>
    <t>Dimensity 7050</t>
  </si>
  <si>
    <t>5,000mAh</t>
  </si>
  <si>
    <t>B0CCK1Z3H1</t>
  </si>
  <si>
    <t>Reno10 Pro 5G 256GB</t>
  </si>
  <si>
    <t>186g</t>
  </si>
  <si>
    <t>50MP + 32MP + 8MP</t>
  </si>
  <si>
    <t>Snapdragon 778G</t>
  </si>
  <si>
    <t>4,600mAh</t>
  </si>
  <si>
    <t>B0CDMXJ7N6</t>
  </si>
  <si>
    <t>Galaxy Z Flip 5 512GB</t>
  </si>
  <si>
    <t>B0CK5T84WJ</t>
  </si>
  <si>
    <t>Galaxy Z Fold 5 512GB</t>
  </si>
  <si>
    <t>254g</t>
  </si>
  <si>
    <t>B0CK5V7MWK</t>
  </si>
  <si>
    <t>OnePlus Nord N30 5G 128GB</t>
  </si>
  <si>
    <t>64MP + 2MP</t>
  </si>
  <si>
    <t>MediaTek Dimensity 6020</t>
  </si>
  <si>
    <t>B0CKLVTDWN</t>
  </si>
  <si>
    <t>Galaxy S24 128GB</t>
  </si>
  <si>
    <t>Exynos 2400</t>
  </si>
  <si>
    <t>B0CMDRCZBJ</t>
  </si>
  <si>
    <t>Galaxy S24 256GB</t>
  </si>
  <si>
    <t>B0CMDTFNGM</t>
  </si>
  <si>
    <t>iPhone 15 256GB</t>
  </si>
  <si>
    <t>171g</t>
  </si>
  <si>
    <t>48MP</t>
  </si>
  <si>
    <t>B0CMPLKVDB</t>
  </si>
  <si>
    <t>iPhone 15 512GB</t>
  </si>
  <si>
    <t>B0CMPLZ5SW</t>
  </si>
  <si>
    <t>iPhone 15 128GB</t>
  </si>
  <si>
    <t>B0CMPMY9ZZ</t>
  </si>
  <si>
    <t>iPhone 15 Plus 512GB</t>
  </si>
  <si>
    <t>4,300mAh</t>
  </si>
  <si>
    <t>B0CMSN4YJD</t>
  </si>
  <si>
    <t>iPhone 15 Plus 256GB</t>
  </si>
  <si>
    <t>B0CMT3P49Q</t>
  </si>
  <si>
    <t>iPhone 15 Plus 128GB</t>
  </si>
  <si>
    <t>B0CMT4XDSC</t>
  </si>
  <si>
    <t>iPhone 15 Pro 512GB</t>
  </si>
  <si>
    <t>4,400mAh</t>
  </si>
  <si>
    <t>B0CMZ42W2C</t>
  </si>
  <si>
    <t>iPhone 15 Pro Max 512GB</t>
  </si>
  <si>
    <t>B0CMZ46PHR</t>
  </si>
  <si>
    <t>iPhone 15 Pro Max 256GB</t>
  </si>
  <si>
    <t>B0CMZDBVWT</t>
  </si>
  <si>
    <t>iPhone 15 Pro 128GB</t>
  </si>
  <si>
    <t>B0CMZG4M6H</t>
  </si>
  <si>
    <t>iPhone 15 Pro 256GB</t>
  </si>
  <si>
    <t>B0CMZL2TJ9</t>
  </si>
  <si>
    <t>Galaxy Z Flip 5 256GB</t>
  </si>
  <si>
    <t>B0CN556RQ4</t>
  </si>
  <si>
    <t>OnePlus 12R 256GB</t>
  </si>
  <si>
    <t>B0CQ9SZJN6</t>
  </si>
  <si>
    <t>Reno11 Pro 512GB</t>
  </si>
  <si>
    <t>MediaTek Dimensity 8200</t>
  </si>
  <si>
    <t>4600mAh</t>
  </si>
  <si>
    <t>6.74 inches</t>
  </si>
  <si>
    <t>B0CRHQ1KQT</t>
  </si>
  <si>
    <t>Reno11 F 256GB</t>
  </si>
  <si>
    <t>MediaTek Dimensity 7050</t>
  </si>
  <si>
    <t>B0CXPY8MGJ</t>
  </si>
  <si>
    <t>A60 256GB</t>
  </si>
  <si>
    <t>Snapdragon 680 4G</t>
  </si>
  <si>
    <t>B0D2DQZPQF</t>
  </si>
  <si>
    <t>OnePlus 12 256GB</t>
  </si>
  <si>
    <t>Snapdragon 8 Gen 3</t>
  </si>
  <si>
    <t>B0D2R8LMMK</t>
  </si>
  <si>
    <t>Galaxy S24 Ultra 256GB</t>
  </si>
  <si>
    <t>234g</t>
  </si>
  <si>
    <t>B0D362HGNP</t>
  </si>
  <si>
    <t>iPhone X 64GB</t>
  </si>
  <si>
    <t>A11 Bionic</t>
  </si>
  <si>
    <t>2,716mAh</t>
  </si>
  <si>
    <t>B0D3F7T32Z</t>
  </si>
  <si>
    <t>Galaxy S24+ 256GB</t>
  </si>
  <si>
    <t>B0D54S3L3M</t>
  </si>
  <si>
    <t>Reno12 256GB</t>
  </si>
  <si>
    <t>B0D5DDTWZ3</t>
  </si>
  <si>
    <t>Reno12 Pro 512GB</t>
  </si>
  <si>
    <t>B0D5DGB6N3</t>
  </si>
  <si>
    <t>Reno12 F 4G 256GB</t>
  </si>
  <si>
    <t>Snapdragon 685</t>
  </si>
  <si>
    <t>B0DDL4FGV6</t>
  </si>
  <si>
    <t>A80 256GB</t>
  </si>
  <si>
    <t>Dimensity 6300</t>
  </si>
  <si>
    <t>5100mAh</t>
  </si>
  <si>
    <t>B0DF8331S3</t>
  </si>
  <si>
    <t>Galaxy Z Fold 5 256GB</t>
  </si>
  <si>
    <t>B0DFRV7D6Y</t>
  </si>
  <si>
    <t>iPhone 16 256GB</t>
  </si>
  <si>
    <t>A17 Bionic</t>
  </si>
  <si>
    <t>3,600mAh</t>
  </si>
  <si>
    <t>B0DHJ2KF9X</t>
  </si>
  <si>
    <t>iPhone 16 Pro 512GB</t>
  </si>
  <si>
    <t>A17 Pro</t>
  </si>
  <si>
    <t>B0DHJ2MKQM</t>
  </si>
  <si>
    <t>iPhone 16 Plus 512GB</t>
  </si>
  <si>
    <t>B0DHJ2PVBJ</t>
  </si>
  <si>
    <t>iPhone 16 Plus 256GB</t>
  </si>
  <si>
    <t>B0DHJ2VZTJ</t>
  </si>
  <si>
    <t>iPhone 16 Pro Max 256GB</t>
  </si>
  <si>
    <t>B0DHJ896RY</t>
  </si>
  <si>
    <t>iPhone 16 Plus 128GB</t>
  </si>
  <si>
    <t>B0DHJCTZ4D</t>
  </si>
  <si>
    <t>iPhone 16 Pro 256GB</t>
  </si>
  <si>
    <t>B0DHJDPYYR</t>
  </si>
  <si>
    <t>iPhone 16 Pro 128GB</t>
  </si>
  <si>
    <t>B0DHJG6JPH</t>
  </si>
  <si>
    <t>iPhone 16 128GB</t>
  </si>
  <si>
    <t>B0DHJGKNT1</t>
  </si>
  <si>
    <t>iPhone 16 512GB</t>
  </si>
  <si>
    <t>B0DHJGLSFT</t>
  </si>
  <si>
    <t>Find X8 Pro 512GB</t>
  </si>
  <si>
    <t>210g</t>
  </si>
  <si>
    <t>16GB</t>
  </si>
  <si>
    <t>50MP + 50MP + 50MP</t>
  </si>
  <si>
    <t>B0DMP26WK7</t>
  </si>
  <si>
    <t>iPhone 16 Pro Max 512GB</t>
  </si>
  <si>
    <t>B0DPDJ2DK8</t>
  </si>
  <si>
    <t>Reno13 F 4G 256GB</t>
  </si>
  <si>
    <t>MediaTek Helio G100</t>
  </si>
  <si>
    <t>5800mAh</t>
  </si>
  <si>
    <t>B0DVCJX284</t>
  </si>
  <si>
    <t>Reno13 256GB</t>
  </si>
  <si>
    <t>MediaTek Dimensity 8350</t>
  </si>
  <si>
    <t>5600mAh</t>
  </si>
  <si>
    <t>6.59 inches</t>
  </si>
  <si>
    <t>B0DVCKXSNK</t>
  </si>
  <si>
    <t>Reno13 Pro 512GB</t>
  </si>
  <si>
    <t>50MP + 50MP + 8MP</t>
  </si>
  <si>
    <t>6.83 inches</t>
  </si>
  <si>
    <t>B0DVCNM737</t>
  </si>
  <si>
    <t>A60 128GB</t>
  </si>
  <si>
    <t>B0DYF5HMYX</t>
  </si>
  <si>
    <t>Metric</t>
  </si>
  <si>
    <t>Value</t>
  </si>
  <si>
    <t>Total Products</t>
  </si>
  <si>
    <t>Total Years</t>
  </si>
  <si>
    <t>Adjacent Year Comparisons</t>
  </si>
  <si>
    <t>Total Year Pair Comparisons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</si>
</sst>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tabSelected="1" workbookViewId="0">
      <selection activeCell="H3" sqref="H3"/>
    </sheetView>
  </sheetViews>
  <sheetFormatPr defaultColWidth="9" defaultRowHeight="16.8" outlineLevelCol="5"/>
  <cols>
    <col min="4" max="4" width="13.8125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7</v>
      </c>
      <c r="C2" t="s">
        <v>8</v>
      </c>
      <c r="D2">
        <v>-0.0313157268709472</v>
      </c>
      <c r="E2">
        <v>2</v>
      </c>
      <c r="F2">
        <v>-3.13157268709472</v>
      </c>
    </row>
    <row r="3" spans="1:6">
      <c r="A3" t="s">
        <v>7</v>
      </c>
      <c r="B3" t="s">
        <v>9</v>
      </c>
      <c r="C3" t="s">
        <v>10</v>
      </c>
      <c r="D3">
        <v>-0.268396216568957</v>
      </c>
      <c r="E3">
        <v>19</v>
      </c>
      <c r="F3">
        <v>-26.8396216568956</v>
      </c>
    </row>
    <row r="4" spans="1:6">
      <c r="A4" t="s">
        <v>9</v>
      </c>
      <c r="B4" t="s">
        <v>11</v>
      </c>
      <c r="C4" t="s">
        <v>12</v>
      </c>
      <c r="D4">
        <v>-0.275763003478627</v>
      </c>
      <c r="E4">
        <v>24</v>
      </c>
      <c r="F4">
        <v>-27.5763003478627</v>
      </c>
    </row>
    <row r="5" spans="1:6">
      <c r="A5" t="s">
        <v>11</v>
      </c>
      <c r="B5" t="s">
        <v>13</v>
      </c>
      <c r="C5" t="s">
        <v>14</v>
      </c>
      <c r="D5">
        <v>-0.317512998530203</v>
      </c>
      <c r="E5">
        <v>47</v>
      </c>
      <c r="F5">
        <v>-31.7512998530203</v>
      </c>
    </row>
    <row r="6" spans="1:6">
      <c r="A6" t="s">
        <v>13</v>
      </c>
      <c r="B6" t="s">
        <v>15</v>
      </c>
      <c r="C6" t="s">
        <v>16</v>
      </c>
      <c r="D6">
        <v>-0.248257212170003</v>
      </c>
      <c r="E6">
        <v>86</v>
      </c>
      <c r="F6">
        <v>-24.8257212170003</v>
      </c>
    </row>
    <row r="7" spans="1:6">
      <c r="A7" t="s">
        <v>15</v>
      </c>
      <c r="B7" t="s">
        <v>17</v>
      </c>
      <c r="C7" t="s">
        <v>18</v>
      </c>
      <c r="D7">
        <v>-0.230541362121325</v>
      </c>
      <c r="E7">
        <v>118</v>
      </c>
      <c r="F7">
        <v>-23.0541362121325</v>
      </c>
    </row>
    <row r="8" spans="1:6">
      <c r="A8" t="s">
        <v>17</v>
      </c>
      <c r="B8" t="s">
        <v>19</v>
      </c>
      <c r="C8" t="s">
        <v>20</v>
      </c>
      <c r="D8">
        <v>-0.141452991969696</v>
      </c>
      <c r="E8">
        <v>138</v>
      </c>
      <c r="F8">
        <v>-14.1452991969696</v>
      </c>
    </row>
    <row r="9" spans="4:4">
      <c r="D9">
        <f>SUM(D2:D8)</f>
        <v>-1.51323951170976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9"/>
  <sheetViews>
    <sheetView workbookViewId="0">
      <selection activeCell="G9" sqref="G9"/>
    </sheetView>
  </sheetViews>
  <sheetFormatPr defaultColWidth="9" defaultRowHeight="16.8" outlineLevelCol="6"/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21</v>
      </c>
    </row>
    <row r="2" spans="1:7">
      <c r="A2" t="s">
        <v>6</v>
      </c>
      <c r="B2" t="s">
        <v>7</v>
      </c>
      <c r="C2" t="s">
        <v>8</v>
      </c>
      <c r="D2">
        <v>-0.0313157268709472</v>
      </c>
      <c r="E2">
        <v>2</v>
      </c>
      <c r="F2">
        <v>-3.13157268709472</v>
      </c>
      <c r="G2">
        <v>1</v>
      </c>
    </row>
    <row r="3" spans="1:7">
      <c r="A3" t="s">
        <v>6</v>
      </c>
      <c r="B3" t="s">
        <v>9</v>
      </c>
      <c r="C3" t="s">
        <v>22</v>
      </c>
      <c r="D3">
        <v>-0.635732520136236</v>
      </c>
      <c r="E3">
        <v>2</v>
      </c>
      <c r="F3">
        <v>-63.5732520136236</v>
      </c>
      <c r="G3">
        <v>2</v>
      </c>
    </row>
    <row r="4" spans="1:7">
      <c r="A4" t="s">
        <v>6</v>
      </c>
      <c r="B4" t="s">
        <v>11</v>
      </c>
      <c r="C4" t="s">
        <v>23</v>
      </c>
      <c r="D4">
        <v>-0.884378030338739</v>
      </c>
      <c r="E4">
        <v>2</v>
      </c>
      <c r="F4">
        <v>-88.4378030338739</v>
      </c>
      <c r="G4">
        <v>3</v>
      </c>
    </row>
    <row r="5" spans="1:7">
      <c r="A5" t="s">
        <v>6</v>
      </c>
      <c r="B5" t="s">
        <v>13</v>
      </c>
      <c r="C5" t="s">
        <v>24</v>
      </c>
      <c r="D5">
        <v>-1.20023360685186</v>
      </c>
      <c r="E5">
        <v>2</v>
      </c>
      <c r="F5">
        <v>-120.023360685186</v>
      </c>
      <c r="G5">
        <v>4</v>
      </c>
    </row>
    <row r="6" spans="1:7">
      <c r="A6" t="s">
        <v>6</v>
      </c>
      <c r="B6" t="s">
        <v>15</v>
      </c>
      <c r="C6" t="s">
        <v>25</v>
      </c>
      <c r="D6">
        <v>-1.36127365510248</v>
      </c>
      <c r="E6">
        <v>2</v>
      </c>
      <c r="F6">
        <v>-136.127365510248</v>
      </c>
      <c r="G6">
        <v>5</v>
      </c>
    </row>
    <row r="7" spans="1:7">
      <c r="A7" t="s">
        <v>6</v>
      </c>
      <c r="B7" t="s">
        <v>17</v>
      </c>
      <c r="C7" t="s">
        <v>26</v>
      </c>
      <c r="D7">
        <v>-1.56252191206805</v>
      </c>
      <c r="E7">
        <v>2</v>
      </c>
      <c r="F7">
        <v>-156.252191206805</v>
      </c>
      <c r="G7">
        <v>6</v>
      </c>
    </row>
    <row r="8" spans="1:7">
      <c r="A8" t="s">
        <v>6</v>
      </c>
      <c r="B8" t="s">
        <v>19</v>
      </c>
      <c r="C8" t="s">
        <v>27</v>
      </c>
      <c r="D8">
        <v>-1.61845352716149</v>
      </c>
      <c r="E8">
        <v>2</v>
      </c>
      <c r="F8">
        <v>-161.845352716149</v>
      </c>
      <c r="G8">
        <v>7</v>
      </c>
    </row>
    <row r="9" spans="1:7">
      <c r="A9" t="s">
        <v>7</v>
      </c>
      <c r="B9" t="s">
        <v>9</v>
      </c>
      <c r="C9" t="s">
        <v>10</v>
      </c>
      <c r="D9">
        <v>-0.268396216568957</v>
      </c>
      <c r="E9">
        <v>19</v>
      </c>
      <c r="F9">
        <v>-26.8396216568956</v>
      </c>
      <c r="G9">
        <v>1</v>
      </c>
    </row>
    <row r="10" spans="1:7">
      <c r="A10" t="s">
        <v>7</v>
      </c>
      <c r="B10" t="s">
        <v>11</v>
      </c>
      <c r="C10" t="s">
        <v>28</v>
      </c>
      <c r="D10">
        <v>-0.547962603752012</v>
      </c>
      <c r="E10">
        <v>19</v>
      </c>
      <c r="F10">
        <v>-54.7962603752012</v>
      </c>
      <c r="G10">
        <v>2</v>
      </c>
    </row>
    <row r="11" spans="1:7">
      <c r="A11" t="s">
        <v>7</v>
      </c>
      <c r="B11" t="s">
        <v>13</v>
      </c>
      <c r="C11" t="s">
        <v>29</v>
      </c>
      <c r="D11">
        <v>-0.869060872803904</v>
      </c>
      <c r="E11">
        <v>19</v>
      </c>
      <c r="F11">
        <v>-86.9060872803904</v>
      </c>
      <c r="G11">
        <v>3</v>
      </c>
    </row>
    <row r="12" spans="1:7">
      <c r="A12" t="s">
        <v>7</v>
      </c>
      <c r="B12" t="s">
        <v>15</v>
      </c>
      <c r="C12" t="s">
        <v>30</v>
      </c>
      <c r="D12">
        <v>-1.05551221688543</v>
      </c>
      <c r="E12">
        <v>19</v>
      </c>
      <c r="F12">
        <v>-105.551221688543</v>
      </c>
      <c r="G12">
        <v>4</v>
      </c>
    </row>
    <row r="13" spans="1:7">
      <c r="A13" t="s">
        <v>7</v>
      </c>
      <c r="B13" t="s">
        <v>17</v>
      </c>
      <c r="C13" t="s">
        <v>31</v>
      </c>
      <c r="D13">
        <v>-1.26198867164308</v>
      </c>
      <c r="E13">
        <v>19</v>
      </c>
      <c r="F13">
        <v>-126.198867164308</v>
      </c>
      <c r="G13">
        <v>5</v>
      </c>
    </row>
    <row r="14" spans="1:7">
      <c r="A14" t="s">
        <v>7</v>
      </c>
      <c r="B14" t="s">
        <v>19</v>
      </c>
      <c r="C14" t="s">
        <v>32</v>
      </c>
      <c r="D14">
        <v>-1.363716855017</v>
      </c>
      <c r="E14">
        <v>19</v>
      </c>
      <c r="F14">
        <v>-136.3716855017</v>
      </c>
      <c r="G14">
        <v>6</v>
      </c>
    </row>
    <row r="15" spans="1:7">
      <c r="A15" t="s">
        <v>9</v>
      </c>
      <c r="B15" t="s">
        <v>11</v>
      </c>
      <c r="C15" t="s">
        <v>12</v>
      </c>
      <c r="D15">
        <v>-0.275763003478627</v>
      </c>
      <c r="E15">
        <v>24</v>
      </c>
      <c r="F15">
        <v>-27.5763003478627</v>
      </c>
      <c r="G15">
        <v>1</v>
      </c>
    </row>
    <row r="16" spans="1:7">
      <c r="A16" t="s">
        <v>9</v>
      </c>
      <c r="B16" t="s">
        <v>13</v>
      </c>
      <c r="C16" t="s">
        <v>33</v>
      </c>
      <c r="D16">
        <v>-0.584989185251608</v>
      </c>
      <c r="E16">
        <v>24</v>
      </c>
      <c r="F16">
        <v>-58.4989185251608</v>
      </c>
      <c r="G16">
        <v>2</v>
      </c>
    </row>
    <row r="17" spans="1:7">
      <c r="A17" t="s">
        <v>9</v>
      </c>
      <c r="B17" t="s">
        <v>15</v>
      </c>
      <c r="C17" t="s">
        <v>34</v>
      </c>
      <c r="D17">
        <v>-0.772536548008273</v>
      </c>
      <c r="E17">
        <v>24</v>
      </c>
      <c r="F17">
        <v>-77.2536548008273</v>
      </c>
      <c r="G17">
        <v>3</v>
      </c>
    </row>
    <row r="18" spans="1:7">
      <c r="A18" t="s">
        <v>9</v>
      </c>
      <c r="B18" t="s">
        <v>17</v>
      </c>
      <c r="C18" t="s">
        <v>35</v>
      </c>
      <c r="D18">
        <v>-0.978809857671155</v>
      </c>
      <c r="E18">
        <v>24</v>
      </c>
      <c r="F18">
        <v>-97.8809857671155</v>
      </c>
      <c r="G18">
        <v>4</v>
      </c>
    </row>
    <row r="19" spans="1:7">
      <c r="A19" t="s">
        <v>9</v>
      </c>
      <c r="B19" t="s">
        <v>19</v>
      </c>
      <c r="C19" t="s">
        <v>36</v>
      </c>
      <c r="D19">
        <v>-1.07226202896408</v>
      </c>
      <c r="E19">
        <v>24</v>
      </c>
      <c r="F19">
        <v>-107.226202896408</v>
      </c>
      <c r="G19">
        <v>5</v>
      </c>
    </row>
    <row r="20" spans="1:7">
      <c r="A20" t="s">
        <v>11</v>
      </c>
      <c r="B20" t="s">
        <v>13</v>
      </c>
      <c r="C20" t="s">
        <v>14</v>
      </c>
      <c r="D20">
        <v>-0.317512998530203</v>
      </c>
      <c r="E20">
        <v>47</v>
      </c>
      <c r="F20">
        <v>-31.7512998530203</v>
      </c>
      <c r="G20">
        <v>1</v>
      </c>
    </row>
    <row r="21" spans="1:7">
      <c r="A21" t="s">
        <v>11</v>
      </c>
      <c r="B21" t="s">
        <v>15</v>
      </c>
      <c r="C21" t="s">
        <v>37</v>
      </c>
      <c r="D21">
        <v>-0.576139299117501</v>
      </c>
      <c r="E21">
        <v>47</v>
      </c>
      <c r="F21">
        <v>-57.6139299117501</v>
      </c>
      <c r="G21">
        <v>2</v>
      </c>
    </row>
    <row r="22" spans="1:7">
      <c r="A22" t="s">
        <v>11</v>
      </c>
      <c r="B22" t="s">
        <v>17</v>
      </c>
      <c r="C22" t="s">
        <v>38</v>
      </c>
      <c r="D22">
        <v>-0.815156970390766</v>
      </c>
      <c r="E22">
        <v>47</v>
      </c>
      <c r="F22">
        <v>-81.5156970390766</v>
      </c>
      <c r="G22">
        <v>3</v>
      </c>
    </row>
    <row r="23" spans="1:7">
      <c r="A23" t="s">
        <v>11</v>
      </c>
      <c r="B23" t="s">
        <v>19</v>
      </c>
      <c r="C23" t="s">
        <v>39</v>
      </c>
      <c r="D23">
        <v>-0.93750095947736</v>
      </c>
      <c r="E23">
        <v>47</v>
      </c>
      <c r="F23">
        <v>-93.750095947736</v>
      </c>
      <c r="G23">
        <v>4</v>
      </c>
    </row>
    <row r="24" spans="1:7">
      <c r="A24" t="s">
        <v>13</v>
      </c>
      <c r="B24" t="s">
        <v>15</v>
      </c>
      <c r="C24" t="s">
        <v>16</v>
      </c>
      <c r="D24">
        <v>-0.248257212170003</v>
      </c>
      <c r="E24">
        <v>86</v>
      </c>
      <c r="F24">
        <v>-24.8257212170003</v>
      </c>
      <c r="G24">
        <v>1</v>
      </c>
    </row>
    <row r="25" spans="1:7">
      <c r="A25" t="s">
        <v>13</v>
      </c>
      <c r="B25" t="s">
        <v>17</v>
      </c>
      <c r="C25" t="s">
        <v>40</v>
      </c>
      <c r="D25">
        <v>-0.502358001835479</v>
      </c>
      <c r="E25">
        <v>86</v>
      </c>
      <c r="F25">
        <v>-50.2358001835479</v>
      </c>
      <c r="G25">
        <v>2</v>
      </c>
    </row>
    <row r="26" spans="1:7">
      <c r="A26" t="s">
        <v>13</v>
      </c>
      <c r="B26" t="s">
        <v>19</v>
      </c>
      <c r="C26" t="s">
        <v>41</v>
      </c>
      <c r="D26">
        <v>-0.64766371076026</v>
      </c>
      <c r="E26">
        <v>84</v>
      </c>
      <c r="F26">
        <v>-64.766371076026</v>
      </c>
      <c r="G26">
        <v>3</v>
      </c>
    </row>
    <row r="27" spans="1:7">
      <c r="A27" t="s">
        <v>15</v>
      </c>
      <c r="B27" t="s">
        <v>17</v>
      </c>
      <c r="C27" t="s">
        <v>18</v>
      </c>
      <c r="D27">
        <v>-0.230541362121325</v>
      </c>
      <c r="E27">
        <v>118</v>
      </c>
      <c r="F27">
        <v>-23.0541362121325</v>
      </c>
      <c r="G27">
        <v>1</v>
      </c>
    </row>
    <row r="28" spans="1:7">
      <c r="A28" t="s">
        <v>15</v>
      </c>
      <c r="B28" t="s">
        <v>19</v>
      </c>
      <c r="C28" t="s">
        <v>42</v>
      </c>
      <c r="D28">
        <v>-0.382737772239903</v>
      </c>
      <c r="E28">
        <v>114</v>
      </c>
      <c r="F28">
        <v>-38.2737772239903</v>
      </c>
      <c r="G28">
        <v>2</v>
      </c>
    </row>
    <row r="29" spans="1:7">
      <c r="A29" t="s">
        <v>17</v>
      </c>
      <c r="B29" t="s">
        <v>19</v>
      </c>
      <c r="C29" t="s">
        <v>20</v>
      </c>
      <c r="D29">
        <v>-0.141452991969696</v>
      </c>
      <c r="E29">
        <v>138</v>
      </c>
      <c r="F29">
        <v>-14.1452991969696</v>
      </c>
      <c r="G2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53"/>
  <sheetViews>
    <sheetView topLeftCell="C3" workbookViewId="0">
      <selection activeCell="A1" sqref="A1"/>
    </sheetView>
  </sheetViews>
  <sheetFormatPr defaultColWidth="9" defaultRowHeight="16.8"/>
  <sheetData>
    <row r="1" spans="1:22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54</v>
      </c>
      <c r="M1" s="1" t="s">
        <v>55</v>
      </c>
      <c r="N1" s="1" t="s">
        <v>56</v>
      </c>
      <c r="O1" s="1" t="s">
        <v>6</v>
      </c>
      <c r="P1" s="1" t="s">
        <v>7</v>
      </c>
      <c r="Q1" s="1" t="s">
        <v>9</v>
      </c>
      <c r="R1" s="1" t="s">
        <v>11</v>
      </c>
      <c r="S1" s="1" t="s">
        <v>13</v>
      </c>
      <c r="T1" s="1" t="s">
        <v>15</v>
      </c>
      <c r="U1" s="1" t="s">
        <v>17</v>
      </c>
      <c r="V1" s="1" t="s">
        <v>19</v>
      </c>
    </row>
    <row r="2" spans="1:22">
      <c r="A2" t="s">
        <v>57</v>
      </c>
      <c r="B2" t="s">
        <v>58</v>
      </c>
      <c r="C2" t="s">
        <v>59</v>
      </c>
      <c r="D2" t="s">
        <v>60</v>
      </c>
      <c r="E2" t="s">
        <v>61</v>
      </c>
      <c r="F2" t="s">
        <v>62</v>
      </c>
      <c r="G2">
        <v>12</v>
      </c>
      <c r="H2">
        <v>2</v>
      </c>
      <c r="I2" t="s">
        <v>63</v>
      </c>
      <c r="J2" t="s">
        <v>64</v>
      </c>
      <c r="K2" t="s">
        <v>65</v>
      </c>
      <c r="L2" t="s">
        <v>66</v>
      </c>
      <c r="M2" t="s">
        <v>67</v>
      </c>
      <c r="N2" t="s">
        <v>67</v>
      </c>
      <c r="O2">
        <v>1079.95</v>
      </c>
      <c r="P2">
        <v>1027.725</v>
      </c>
      <c r="Q2">
        <v>564.4475</v>
      </c>
      <c r="R2">
        <v>439.0325</v>
      </c>
      <c r="S2">
        <v>318.565</v>
      </c>
      <c r="T2">
        <v>281.395</v>
      </c>
      <c r="U2">
        <v>226.235</v>
      </c>
      <c r="V2">
        <v>212.775</v>
      </c>
    </row>
    <row r="3" spans="1:22">
      <c r="A3" t="s">
        <v>57</v>
      </c>
      <c r="B3" t="s">
        <v>68</v>
      </c>
      <c r="C3" t="s">
        <v>59</v>
      </c>
      <c r="D3" t="s">
        <v>60</v>
      </c>
      <c r="E3" t="s">
        <v>61</v>
      </c>
      <c r="F3" t="s">
        <v>62</v>
      </c>
      <c r="G3">
        <v>12</v>
      </c>
      <c r="H3">
        <v>2</v>
      </c>
      <c r="I3" t="s">
        <v>63</v>
      </c>
      <c r="J3" t="s">
        <v>64</v>
      </c>
      <c r="K3" t="s">
        <v>65</v>
      </c>
      <c r="L3" t="s">
        <v>66</v>
      </c>
      <c r="M3" t="s">
        <v>69</v>
      </c>
      <c r="N3" t="s">
        <v>69</v>
      </c>
      <c r="O3">
        <v>1179.95</v>
      </c>
      <c r="P3">
        <v>1164.635</v>
      </c>
      <c r="Q3">
        <v>633.0725</v>
      </c>
      <c r="R3">
        <v>495.005</v>
      </c>
      <c r="S3">
        <v>362.71</v>
      </c>
      <c r="T3">
        <v>297.5525</v>
      </c>
      <c r="U3">
        <v>247.4675</v>
      </c>
      <c r="V3">
        <v>235.275</v>
      </c>
    </row>
    <row r="4" spans="1:22">
      <c r="A4" t="s">
        <v>57</v>
      </c>
      <c r="B4" t="s">
        <v>70</v>
      </c>
      <c r="C4" t="s">
        <v>59</v>
      </c>
      <c r="D4" t="s">
        <v>60</v>
      </c>
      <c r="E4" t="s">
        <v>61</v>
      </c>
      <c r="F4" t="s">
        <v>62</v>
      </c>
      <c r="G4">
        <v>12</v>
      </c>
      <c r="H4">
        <v>2</v>
      </c>
      <c r="I4" t="s">
        <v>63</v>
      </c>
      <c r="J4" t="s">
        <v>64</v>
      </c>
      <c r="K4" t="s">
        <v>65</v>
      </c>
      <c r="L4" t="s">
        <v>66</v>
      </c>
      <c r="M4" t="s">
        <v>71</v>
      </c>
      <c r="N4" t="s">
        <v>71</v>
      </c>
      <c r="O4" t="s">
        <v>72</v>
      </c>
      <c r="P4">
        <v>1171.25</v>
      </c>
      <c r="Q4">
        <v>675.5725</v>
      </c>
      <c r="R4">
        <v>553.3025</v>
      </c>
      <c r="S4">
        <v>429.1</v>
      </c>
      <c r="T4">
        <v>367.34</v>
      </c>
      <c r="U4">
        <v>317.1775</v>
      </c>
      <c r="V4">
        <v>278.685</v>
      </c>
    </row>
    <row r="5" spans="1:22">
      <c r="A5" t="s">
        <v>57</v>
      </c>
      <c r="B5" t="s">
        <v>73</v>
      </c>
      <c r="C5" t="s">
        <v>74</v>
      </c>
      <c r="D5" t="s">
        <v>75</v>
      </c>
      <c r="E5" t="s">
        <v>61</v>
      </c>
      <c r="F5" t="s">
        <v>62</v>
      </c>
      <c r="G5">
        <v>12</v>
      </c>
      <c r="H5">
        <v>2</v>
      </c>
      <c r="I5" t="s">
        <v>63</v>
      </c>
      <c r="J5" t="s">
        <v>64</v>
      </c>
      <c r="K5" t="s">
        <v>76</v>
      </c>
      <c r="L5" t="s">
        <v>77</v>
      </c>
      <c r="M5" t="s">
        <v>78</v>
      </c>
      <c r="N5" t="s">
        <v>78</v>
      </c>
      <c r="O5" t="s">
        <v>72</v>
      </c>
      <c r="P5">
        <v>603.236666666667</v>
      </c>
      <c r="Q5">
        <v>441.065</v>
      </c>
      <c r="R5">
        <v>340.47</v>
      </c>
      <c r="S5">
        <v>242.965</v>
      </c>
      <c r="T5">
        <v>213.0625</v>
      </c>
      <c r="U5">
        <v>173.3475</v>
      </c>
      <c r="V5">
        <v>159.4</v>
      </c>
    </row>
    <row r="6" spans="1:22">
      <c r="A6" t="s">
        <v>57</v>
      </c>
      <c r="B6" t="s">
        <v>79</v>
      </c>
      <c r="C6" t="s">
        <v>74</v>
      </c>
      <c r="D6" t="s">
        <v>75</v>
      </c>
      <c r="E6" t="s">
        <v>61</v>
      </c>
      <c r="F6" t="s">
        <v>62</v>
      </c>
      <c r="G6">
        <v>12</v>
      </c>
      <c r="H6">
        <v>2</v>
      </c>
      <c r="I6" t="s">
        <v>63</v>
      </c>
      <c r="J6" t="s">
        <v>64</v>
      </c>
      <c r="K6" t="s">
        <v>76</v>
      </c>
      <c r="L6" t="s">
        <v>77</v>
      </c>
      <c r="M6" t="s">
        <v>80</v>
      </c>
      <c r="N6" t="s">
        <v>80</v>
      </c>
      <c r="O6" t="s">
        <v>72</v>
      </c>
      <c r="P6">
        <v>761.3875</v>
      </c>
      <c r="Q6">
        <v>559.18</v>
      </c>
      <c r="R6">
        <v>445.5875</v>
      </c>
      <c r="S6">
        <v>325.615</v>
      </c>
      <c r="T6">
        <v>281.7</v>
      </c>
      <c r="U6">
        <v>224.925</v>
      </c>
      <c r="V6">
        <v>206.605</v>
      </c>
    </row>
    <row r="7" spans="1:22">
      <c r="A7" t="s">
        <v>57</v>
      </c>
      <c r="B7" t="s">
        <v>81</v>
      </c>
      <c r="C7" t="s">
        <v>74</v>
      </c>
      <c r="D7" t="s">
        <v>75</v>
      </c>
      <c r="E7" t="s">
        <v>61</v>
      </c>
      <c r="F7" t="s">
        <v>62</v>
      </c>
      <c r="G7">
        <v>12</v>
      </c>
      <c r="H7">
        <v>2</v>
      </c>
      <c r="I7" t="s">
        <v>63</v>
      </c>
      <c r="J7" t="s">
        <v>64</v>
      </c>
      <c r="K7" t="s">
        <v>76</v>
      </c>
      <c r="L7" t="s">
        <v>77</v>
      </c>
      <c r="M7" t="s">
        <v>82</v>
      </c>
      <c r="N7" t="s">
        <v>82</v>
      </c>
      <c r="O7" t="s">
        <v>72</v>
      </c>
      <c r="P7">
        <v>690.7775</v>
      </c>
      <c r="Q7">
        <v>491.285</v>
      </c>
      <c r="R7">
        <v>396.955</v>
      </c>
      <c r="S7">
        <v>273.985</v>
      </c>
      <c r="T7">
        <v>244.3025</v>
      </c>
      <c r="U7">
        <v>197.025</v>
      </c>
      <c r="V7">
        <v>173.97</v>
      </c>
    </row>
    <row r="8" spans="1:22">
      <c r="A8" t="s">
        <v>57</v>
      </c>
      <c r="B8" t="s">
        <v>83</v>
      </c>
      <c r="C8" t="s">
        <v>84</v>
      </c>
      <c r="D8" t="s">
        <v>60</v>
      </c>
      <c r="E8" t="s">
        <v>61</v>
      </c>
      <c r="F8" t="s">
        <v>62</v>
      </c>
      <c r="G8">
        <v>12</v>
      </c>
      <c r="H8">
        <v>2</v>
      </c>
      <c r="I8" t="s">
        <v>63</v>
      </c>
      <c r="J8" t="s">
        <v>64</v>
      </c>
      <c r="K8" t="s">
        <v>85</v>
      </c>
      <c r="L8" t="s">
        <v>86</v>
      </c>
      <c r="M8" t="s">
        <v>87</v>
      </c>
      <c r="N8" t="s">
        <v>87</v>
      </c>
      <c r="O8" t="s">
        <v>72</v>
      </c>
      <c r="P8">
        <v>752.01</v>
      </c>
      <c r="Q8">
        <v>481.78</v>
      </c>
      <c r="R8">
        <v>354.7375</v>
      </c>
      <c r="S8">
        <v>256.6675</v>
      </c>
      <c r="T8">
        <v>215.5325</v>
      </c>
      <c r="U8">
        <v>178.8375</v>
      </c>
      <c r="V8">
        <v>162.665</v>
      </c>
    </row>
    <row r="9" spans="1:22">
      <c r="A9" t="s">
        <v>57</v>
      </c>
      <c r="B9" t="s">
        <v>88</v>
      </c>
      <c r="C9" t="s">
        <v>84</v>
      </c>
      <c r="D9" t="s">
        <v>60</v>
      </c>
      <c r="E9" t="s">
        <v>61</v>
      </c>
      <c r="F9" t="s">
        <v>62</v>
      </c>
      <c r="G9">
        <v>12</v>
      </c>
      <c r="H9">
        <v>2</v>
      </c>
      <c r="I9" t="s">
        <v>63</v>
      </c>
      <c r="J9" t="s">
        <v>64</v>
      </c>
      <c r="K9" t="s">
        <v>85</v>
      </c>
      <c r="L9" t="s">
        <v>86</v>
      </c>
      <c r="M9" t="s">
        <v>89</v>
      </c>
      <c r="N9" t="s">
        <v>89</v>
      </c>
      <c r="O9" t="s">
        <v>72</v>
      </c>
      <c r="P9">
        <v>880.93</v>
      </c>
      <c r="Q9">
        <v>554.5675</v>
      </c>
      <c r="R9">
        <v>416.5325</v>
      </c>
      <c r="S9">
        <v>302.745</v>
      </c>
      <c r="T9">
        <v>256.555</v>
      </c>
      <c r="U9">
        <v>205.2275</v>
      </c>
      <c r="V9">
        <v>187.86</v>
      </c>
    </row>
    <row r="10" spans="1:22">
      <c r="A10" t="s">
        <v>90</v>
      </c>
      <c r="B10" t="s">
        <v>91</v>
      </c>
      <c r="C10" t="s">
        <v>92</v>
      </c>
      <c r="D10" t="s">
        <v>93</v>
      </c>
      <c r="E10" t="s">
        <v>94</v>
      </c>
      <c r="F10" t="s">
        <v>95</v>
      </c>
      <c r="G10">
        <v>16</v>
      </c>
      <c r="H10">
        <v>2</v>
      </c>
      <c r="I10" t="s">
        <v>96</v>
      </c>
      <c r="J10" t="s">
        <v>64</v>
      </c>
      <c r="K10" t="s">
        <v>97</v>
      </c>
      <c r="L10" t="s">
        <v>98</v>
      </c>
      <c r="M10" t="s">
        <v>99</v>
      </c>
      <c r="N10" t="s">
        <v>99</v>
      </c>
      <c r="O10" t="s">
        <v>72</v>
      </c>
      <c r="P10">
        <v>649.02</v>
      </c>
      <c r="Q10">
        <v>559.23</v>
      </c>
      <c r="R10">
        <v>402.2175</v>
      </c>
      <c r="S10">
        <v>278.5725</v>
      </c>
      <c r="T10">
        <v>233.67</v>
      </c>
      <c r="U10">
        <v>221.64</v>
      </c>
      <c r="V10">
        <v>201.165</v>
      </c>
    </row>
    <row r="11" spans="1:22">
      <c r="A11" t="s">
        <v>90</v>
      </c>
      <c r="B11" t="s">
        <v>100</v>
      </c>
      <c r="C11" t="s">
        <v>101</v>
      </c>
      <c r="D11" t="s">
        <v>102</v>
      </c>
      <c r="E11" t="s">
        <v>94</v>
      </c>
      <c r="F11" t="s">
        <v>95</v>
      </c>
      <c r="G11">
        <v>16</v>
      </c>
      <c r="H11">
        <v>2</v>
      </c>
      <c r="I11" t="s">
        <v>96</v>
      </c>
      <c r="J11" t="s">
        <v>64</v>
      </c>
      <c r="K11" t="s">
        <v>103</v>
      </c>
      <c r="L11" t="s">
        <v>104</v>
      </c>
      <c r="M11" t="s">
        <v>105</v>
      </c>
      <c r="N11" t="s">
        <v>105</v>
      </c>
      <c r="O11" t="s">
        <v>72</v>
      </c>
      <c r="P11">
        <v>871.99</v>
      </c>
      <c r="Q11">
        <v>783.745</v>
      </c>
      <c r="R11">
        <v>542.36</v>
      </c>
      <c r="S11">
        <v>456.1875</v>
      </c>
      <c r="T11">
        <v>386.795</v>
      </c>
      <c r="U11">
        <v>428.38</v>
      </c>
      <c r="V11">
        <v>503.43</v>
      </c>
    </row>
    <row r="12" spans="1:22">
      <c r="A12" t="s">
        <v>57</v>
      </c>
      <c r="B12" t="s">
        <v>106</v>
      </c>
      <c r="C12" t="s">
        <v>74</v>
      </c>
      <c r="D12" t="s">
        <v>60</v>
      </c>
      <c r="E12" t="s">
        <v>107</v>
      </c>
      <c r="F12" t="s">
        <v>62</v>
      </c>
      <c r="G12">
        <v>12</v>
      </c>
      <c r="H12">
        <v>2</v>
      </c>
      <c r="I12" t="s">
        <v>108</v>
      </c>
      <c r="J12" t="s">
        <v>64</v>
      </c>
      <c r="K12" t="s">
        <v>109</v>
      </c>
      <c r="L12" t="s">
        <v>77</v>
      </c>
      <c r="M12" t="s">
        <v>110</v>
      </c>
      <c r="N12" t="s">
        <v>110</v>
      </c>
      <c r="O12" t="s">
        <v>72</v>
      </c>
      <c r="P12">
        <v>737.32</v>
      </c>
      <c r="Q12">
        <v>647.98</v>
      </c>
      <c r="R12">
        <v>508.59</v>
      </c>
      <c r="S12">
        <v>351.5225</v>
      </c>
      <c r="T12">
        <v>285.4775</v>
      </c>
      <c r="U12">
        <v>215.3125</v>
      </c>
      <c r="V12">
        <v>188.835</v>
      </c>
    </row>
    <row r="13" spans="1:22">
      <c r="A13" t="s">
        <v>57</v>
      </c>
      <c r="B13" t="s">
        <v>111</v>
      </c>
      <c r="C13" t="s">
        <v>74</v>
      </c>
      <c r="D13" t="s">
        <v>60</v>
      </c>
      <c r="E13" t="s">
        <v>107</v>
      </c>
      <c r="F13" t="s">
        <v>62</v>
      </c>
      <c r="G13">
        <v>12</v>
      </c>
      <c r="H13">
        <v>2</v>
      </c>
      <c r="I13" t="s">
        <v>108</v>
      </c>
      <c r="J13" t="s">
        <v>64</v>
      </c>
      <c r="K13" t="s">
        <v>109</v>
      </c>
      <c r="L13" t="s">
        <v>77</v>
      </c>
      <c r="M13" t="s">
        <v>112</v>
      </c>
      <c r="N13" t="s">
        <v>112</v>
      </c>
      <c r="O13" t="s">
        <v>72</v>
      </c>
      <c r="P13">
        <v>769.11</v>
      </c>
      <c r="Q13">
        <v>722.195</v>
      </c>
      <c r="R13">
        <v>574.81</v>
      </c>
      <c r="S13">
        <v>395.595</v>
      </c>
      <c r="T13">
        <v>325.3575</v>
      </c>
      <c r="U13">
        <v>251.01</v>
      </c>
      <c r="V13">
        <v>214.93</v>
      </c>
    </row>
    <row r="14" spans="1:22">
      <c r="A14" t="s">
        <v>57</v>
      </c>
      <c r="B14" t="s">
        <v>113</v>
      </c>
      <c r="C14" t="s">
        <v>114</v>
      </c>
      <c r="D14" t="s">
        <v>60</v>
      </c>
      <c r="E14" t="s">
        <v>115</v>
      </c>
      <c r="F14" t="s">
        <v>116</v>
      </c>
      <c r="G14">
        <v>12</v>
      </c>
      <c r="H14">
        <v>3</v>
      </c>
      <c r="I14" t="s">
        <v>108</v>
      </c>
      <c r="J14" t="s">
        <v>64</v>
      </c>
      <c r="K14" t="s">
        <v>117</v>
      </c>
      <c r="L14" t="s">
        <v>86</v>
      </c>
      <c r="M14" t="s">
        <v>118</v>
      </c>
      <c r="N14" t="s">
        <v>118</v>
      </c>
      <c r="O14" t="s">
        <v>72</v>
      </c>
      <c r="P14">
        <v>969</v>
      </c>
      <c r="Q14">
        <v>841.1525</v>
      </c>
      <c r="R14">
        <v>620.455</v>
      </c>
      <c r="S14">
        <v>426.7575</v>
      </c>
      <c r="T14">
        <v>343.98</v>
      </c>
      <c r="U14">
        <v>263.9925</v>
      </c>
      <c r="V14">
        <v>230.75</v>
      </c>
    </row>
    <row r="15" spans="1:22">
      <c r="A15" t="s">
        <v>57</v>
      </c>
      <c r="B15" t="s">
        <v>119</v>
      </c>
      <c r="C15" t="s">
        <v>74</v>
      </c>
      <c r="D15" t="s">
        <v>60</v>
      </c>
      <c r="E15" t="s">
        <v>107</v>
      </c>
      <c r="F15" t="s">
        <v>62</v>
      </c>
      <c r="G15">
        <v>12</v>
      </c>
      <c r="H15">
        <v>2</v>
      </c>
      <c r="I15" t="s">
        <v>108</v>
      </c>
      <c r="J15" t="s">
        <v>64</v>
      </c>
      <c r="K15" t="s">
        <v>109</v>
      </c>
      <c r="L15" t="s">
        <v>77</v>
      </c>
      <c r="M15" t="s">
        <v>120</v>
      </c>
      <c r="N15" t="s">
        <v>120</v>
      </c>
      <c r="O15" t="s">
        <v>72</v>
      </c>
      <c r="P15">
        <v>881.58</v>
      </c>
      <c r="Q15">
        <v>779.9225</v>
      </c>
      <c r="R15">
        <v>636.3425</v>
      </c>
      <c r="S15">
        <v>439.4275</v>
      </c>
      <c r="T15">
        <v>364.3475</v>
      </c>
      <c r="U15">
        <v>277.3225</v>
      </c>
      <c r="V15">
        <v>242.27</v>
      </c>
    </row>
    <row r="16" spans="1:22">
      <c r="A16" t="s">
        <v>57</v>
      </c>
      <c r="B16" t="s">
        <v>121</v>
      </c>
      <c r="C16" t="s">
        <v>114</v>
      </c>
      <c r="D16" t="s">
        <v>60</v>
      </c>
      <c r="E16" t="s">
        <v>115</v>
      </c>
      <c r="F16" t="s">
        <v>116</v>
      </c>
      <c r="G16">
        <v>12</v>
      </c>
      <c r="H16">
        <v>3</v>
      </c>
      <c r="I16" t="s">
        <v>108</v>
      </c>
      <c r="J16" t="s">
        <v>64</v>
      </c>
      <c r="K16" t="s">
        <v>117</v>
      </c>
      <c r="L16" t="s">
        <v>86</v>
      </c>
      <c r="M16" t="s">
        <v>122</v>
      </c>
      <c r="N16" t="s">
        <v>122</v>
      </c>
      <c r="O16" t="s">
        <v>72</v>
      </c>
      <c r="P16">
        <v>1185.02</v>
      </c>
      <c r="Q16">
        <v>986.17</v>
      </c>
      <c r="R16">
        <v>714.21</v>
      </c>
      <c r="S16">
        <v>499.6025</v>
      </c>
      <c r="T16">
        <v>394.8725</v>
      </c>
      <c r="U16">
        <v>304.695</v>
      </c>
      <c r="V16">
        <v>262.83</v>
      </c>
    </row>
    <row r="17" spans="1:22">
      <c r="A17" t="s">
        <v>57</v>
      </c>
      <c r="B17" t="s">
        <v>123</v>
      </c>
      <c r="C17" t="s">
        <v>124</v>
      </c>
      <c r="D17" t="s">
        <v>60</v>
      </c>
      <c r="E17" t="s">
        <v>115</v>
      </c>
      <c r="F17" t="s">
        <v>116</v>
      </c>
      <c r="G17">
        <v>12</v>
      </c>
      <c r="H17">
        <v>3</v>
      </c>
      <c r="I17" t="s">
        <v>108</v>
      </c>
      <c r="J17" t="s">
        <v>64</v>
      </c>
      <c r="K17" t="s">
        <v>125</v>
      </c>
      <c r="L17" t="s">
        <v>66</v>
      </c>
      <c r="M17" t="s">
        <v>126</v>
      </c>
      <c r="N17" t="s">
        <v>126</v>
      </c>
      <c r="O17" t="s">
        <v>72</v>
      </c>
      <c r="P17">
        <v>1386.25</v>
      </c>
      <c r="Q17">
        <v>1236.8525</v>
      </c>
      <c r="R17">
        <v>851.8175</v>
      </c>
      <c r="S17">
        <v>653.1825</v>
      </c>
      <c r="T17">
        <v>527.005</v>
      </c>
      <c r="U17">
        <v>401.5975</v>
      </c>
      <c r="V17">
        <v>350.305</v>
      </c>
    </row>
    <row r="18" spans="1:22">
      <c r="A18" t="s">
        <v>57</v>
      </c>
      <c r="B18" t="s">
        <v>127</v>
      </c>
      <c r="C18" t="s">
        <v>124</v>
      </c>
      <c r="D18" t="s">
        <v>60</v>
      </c>
      <c r="E18" t="s">
        <v>115</v>
      </c>
      <c r="F18" t="s">
        <v>116</v>
      </c>
      <c r="G18">
        <v>12</v>
      </c>
      <c r="H18">
        <v>3</v>
      </c>
      <c r="I18" t="s">
        <v>108</v>
      </c>
      <c r="J18" t="s">
        <v>64</v>
      </c>
      <c r="K18" t="s">
        <v>125</v>
      </c>
      <c r="L18" t="s">
        <v>66</v>
      </c>
      <c r="M18" t="s">
        <v>128</v>
      </c>
      <c r="N18" t="s">
        <v>128</v>
      </c>
      <c r="O18" t="s">
        <v>72</v>
      </c>
      <c r="P18">
        <v>1100.96</v>
      </c>
      <c r="Q18">
        <v>972.505</v>
      </c>
      <c r="R18">
        <v>700.74</v>
      </c>
      <c r="S18">
        <v>509.4275</v>
      </c>
      <c r="T18">
        <v>400.135</v>
      </c>
      <c r="U18">
        <v>313.6175</v>
      </c>
      <c r="V18">
        <v>272.7</v>
      </c>
    </row>
    <row r="19" spans="1:22">
      <c r="A19" t="s">
        <v>57</v>
      </c>
      <c r="B19" t="s">
        <v>129</v>
      </c>
      <c r="C19" t="s">
        <v>114</v>
      </c>
      <c r="D19" t="s">
        <v>60</v>
      </c>
      <c r="E19" t="s">
        <v>115</v>
      </c>
      <c r="F19" t="s">
        <v>116</v>
      </c>
      <c r="G19">
        <v>12</v>
      </c>
      <c r="H19">
        <v>3</v>
      </c>
      <c r="I19" t="s">
        <v>108</v>
      </c>
      <c r="J19" t="s">
        <v>64</v>
      </c>
      <c r="K19" t="s">
        <v>117</v>
      </c>
      <c r="L19" t="s">
        <v>86</v>
      </c>
      <c r="M19" t="s">
        <v>130</v>
      </c>
      <c r="N19" t="s">
        <v>130</v>
      </c>
      <c r="O19" t="s">
        <v>72</v>
      </c>
      <c r="P19">
        <v>1268.96</v>
      </c>
      <c r="Q19">
        <v>1061.505</v>
      </c>
      <c r="R19">
        <v>766.6975</v>
      </c>
      <c r="S19">
        <v>575.3725</v>
      </c>
      <c r="T19">
        <v>444.9975</v>
      </c>
      <c r="U19">
        <v>344.26</v>
      </c>
      <c r="V19">
        <v>295.095</v>
      </c>
    </row>
    <row r="20" spans="1:22">
      <c r="A20" t="s">
        <v>57</v>
      </c>
      <c r="B20" t="s">
        <v>131</v>
      </c>
      <c r="C20" t="s">
        <v>124</v>
      </c>
      <c r="D20" t="s">
        <v>60</v>
      </c>
      <c r="E20" t="s">
        <v>115</v>
      </c>
      <c r="F20" t="s">
        <v>116</v>
      </c>
      <c r="G20">
        <v>12</v>
      </c>
      <c r="H20">
        <v>3</v>
      </c>
      <c r="I20" t="s">
        <v>108</v>
      </c>
      <c r="J20" t="s">
        <v>64</v>
      </c>
      <c r="K20" t="s">
        <v>125</v>
      </c>
      <c r="L20" t="s">
        <v>66</v>
      </c>
      <c r="M20" t="s">
        <v>132</v>
      </c>
      <c r="N20" t="s">
        <v>132</v>
      </c>
      <c r="O20" t="s">
        <v>72</v>
      </c>
      <c r="P20">
        <v>1270.54</v>
      </c>
      <c r="Q20">
        <v>1085.075</v>
      </c>
      <c r="R20">
        <v>804.9125</v>
      </c>
      <c r="S20">
        <v>600.02</v>
      </c>
      <c r="T20">
        <v>472.785</v>
      </c>
      <c r="U20">
        <v>365.8975</v>
      </c>
      <c r="V20">
        <v>316.465</v>
      </c>
    </row>
    <row r="21" spans="1:22">
      <c r="A21" t="s">
        <v>133</v>
      </c>
      <c r="B21" t="s">
        <v>134</v>
      </c>
      <c r="C21" t="s">
        <v>135</v>
      </c>
      <c r="D21" t="s">
        <v>93</v>
      </c>
      <c r="E21" t="s">
        <v>136</v>
      </c>
      <c r="F21" t="s">
        <v>137</v>
      </c>
      <c r="G21">
        <v>50</v>
      </c>
      <c r="H21">
        <v>2</v>
      </c>
      <c r="I21" t="s">
        <v>138</v>
      </c>
      <c r="J21" t="s">
        <v>64</v>
      </c>
      <c r="K21" t="s">
        <v>103</v>
      </c>
      <c r="L21" t="s">
        <v>104</v>
      </c>
      <c r="M21" t="s">
        <v>139</v>
      </c>
      <c r="N21" t="s">
        <v>139</v>
      </c>
      <c r="O21" t="s">
        <v>72</v>
      </c>
      <c r="P21" t="s">
        <v>72</v>
      </c>
      <c r="Q21" t="s">
        <v>72</v>
      </c>
      <c r="R21" t="s">
        <v>72</v>
      </c>
      <c r="S21" t="s">
        <v>72</v>
      </c>
      <c r="T21">
        <v>1299.59</v>
      </c>
      <c r="U21">
        <v>1141.6325</v>
      </c>
      <c r="V21">
        <v>1183.625</v>
      </c>
    </row>
    <row r="22" spans="1:22">
      <c r="A22" t="s">
        <v>90</v>
      </c>
      <c r="B22" t="s">
        <v>140</v>
      </c>
      <c r="C22" t="s">
        <v>101</v>
      </c>
      <c r="D22" t="s">
        <v>102</v>
      </c>
      <c r="E22" t="s">
        <v>94</v>
      </c>
      <c r="F22" t="s">
        <v>95</v>
      </c>
      <c r="G22">
        <v>16</v>
      </c>
      <c r="H22">
        <v>2</v>
      </c>
      <c r="I22" t="s">
        <v>96</v>
      </c>
      <c r="J22" t="s">
        <v>64</v>
      </c>
      <c r="K22" t="s">
        <v>103</v>
      </c>
      <c r="L22" t="s">
        <v>104</v>
      </c>
      <c r="M22" t="s">
        <v>141</v>
      </c>
      <c r="N22" t="s">
        <v>141</v>
      </c>
      <c r="O22" t="s">
        <v>72</v>
      </c>
      <c r="P22" t="s">
        <v>72</v>
      </c>
      <c r="Q22">
        <v>671.156666666667</v>
      </c>
      <c r="R22">
        <v>463.215</v>
      </c>
      <c r="S22">
        <v>346.4875</v>
      </c>
      <c r="T22">
        <v>290.5875</v>
      </c>
      <c r="U22">
        <v>273.3775</v>
      </c>
      <c r="V22">
        <v>252.455</v>
      </c>
    </row>
    <row r="23" spans="1:22">
      <c r="A23" t="s">
        <v>57</v>
      </c>
      <c r="B23" t="s">
        <v>142</v>
      </c>
      <c r="C23" t="s">
        <v>84</v>
      </c>
      <c r="D23" t="s">
        <v>60</v>
      </c>
      <c r="E23" t="s">
        <v>61</v>
      </c>
      <c r="F23" t="s">
        <v>62</v>
      </c>
      <c r="G23">
        <v>12</v>
      </c>
      <c r="H23">
        <v>2</v>
      </c>
      <c r="I23" t="s">
        <v>63</v>
      </c>
      <c r="J23" t="s">
        <v>64</v>
      </c>
      <c r="K23" t="s">
        <v>85</v>
      </c>
      <c r="L23" t="s">
        <v>86</v>
      </c>
      <c r="M23" t="s">
        <v>143</v>
      </c>
      <c r="N23" t="s">
        <v>143</v>
      </c>
      <c r="O23" t="s">
        <v>72</v>
      </c>
      <c r="P23" t="s">
        <v>72</v>
      </c>
      <c r="Q23">
        <v>611.855</v>
      </c>
      <c r="R23">
        <v>496.96</v>
      </c>
      <c r="S23">
        <v>376.955</v>
      </c>
      <c r="T23">
        <v>313.8775</v>
      </c>
      <c r="U23">
        <v>266.84</v>
      </c>
      <c r="V23">
        <v>235.29</v>
      </c>
    </row>
    <row r="24" spans="1:22">
      <c r="A24" t="s">
        <v>144</v>
      </c>
      <c r="B24" t="s">
        <v>145</v>
      </c>
      <c r="C24" t="s">
        <v>146</v>
      </c>
      <c r="D24" t="s">
        <v>102</v>
      </c>
      <c r="E24" t="s">
        <v>147</v>
      </c>
      <c r="F24" t="s">
        <v>148</v>
      </c>
      <c r="G24">
        <v>48</v>
      </c>
      <c r="H24">
        <v>2</v>
      </c>
      <c r="I24" t="s">
        <v>149</v>
      </c>
      <c r="J24" t="s">
        <v>64</v>
      </c>
      <c r="K24" t="s">
        <v>150</v>
      </c>
      <c r="L24" t="s">
        <v>151</v>
      </c>
      <c r="M24" t="s">
        <v>152</v>
      </c>
      <c r="N24" t="s">
        <v>152</v>
      </c>
      <c r="O24" t="s">
        <v>72</v>
      </c>
      <c r="P24" t="s">
        <v>72</v>
      </c>
      <c r="Q24">
        <v>494.335</v>
      </c>
      <c r="R24">
        <v>334.835</v>
      </c>
      <c r="S24">
        <v>292.4725</v>
      </c>
      <c r="T24">
        <v>293.415</v>
      </c>
      <c r="U24">
        <v>215.33</v>
      </c>
      <c r="V24">
        <v>189.3</v>
      </c>
    </row>
    <row r="25" spans="1:22">
      <c r="A25" t="s">
        <v>144</v>
      </c>
      <c r="B25" t="s">
        <v>153</v>
      </c>
      <c r="C25" t="s">
        <v>154</v>
      </c>
      <c r="D25" t="s">
        <v>102</v>
      </c>
      <c r="E25" t="s">
        <v>147</v>
      </c>
      <c r="F25" t="s">
        <v>155</v>
      </c>
      <c r="G25">
        <v>48</v>
      </c>
      <c r="H25">
        <v>2</v>
      </c>
      <c r="I25" t="s">
        <v>156</v>
      </c>
      <c r="J25" t="s">
        <v>64</v>
      </c>
      <c r="K25" t="s">
        <v>157</v>
      </c>
      <c r="L25" t="s">
        <v>158</v>
      </c>
      <c r="M25" t="s">
        <v>159</v>
      </c>
      <c r="N25" t="s">
        <v>159</v>
      </c>
      <c r="O25" t="s">
        <v>72</v>
      </c>
      <c r="P25" t="s">
        <v>72</v>
      </c>
      <c r="Q25">
        <v>792.845</v>
      </c>
      <c r="R25">
        <v>654.715</v>
      </c>
      <c r="S25">
        <v>503.5125</v>
      </c>
      <c r="T25">
        <v>427.1525</v>
      </c>
      <c r="U25">
        <v>300.09</v>
      </c>
      <c r="V25">
        <v>334.97</v>
      </c>
    </row>
    <row r="26" spans="1:22">
      <c r="A26" t="s">
        <v>90</v>
      </c>
      <c r="B26" t="s">
        <v>160</v>
      </c>
      <c r="C26" t="s">
        <v>59</v>
      </c>
      <c r="D26" t="s">
        <v>102</v>
      </c>
      <c r="E26" t="s">
        <v>94</v>
      </c>
      <c r="F26" t="s">
        <v>161</v>
      </c>
      <c r="G26">
        <v>108</v>
      </c>
      <c r="H26">
        <v>2</v>
      </c>
      <c r="I26" t="s">
        <v>162</v>
      </c>
      <c r="J26" t="s">
        <v>64</v>
      </c>
      <c r="K26" t="s">
        <v>163</v>
      </c>
      <c r="L26" t="s">
        <v>164</v>
      </c>
      <c r="M26" t="s">
        <v>165</v>
      </c>
      <c r="N26" t="s">
        <v>165</v>
      </c>
      <c r="O26" t="s">
        <v>72</v>
      </c>
      <c r="P26" t="s">
        <v>72</v>
      </c>
      <c r="Q26">
        <v>997.78</v>
      </c>
      <c r="R26">
        <v>861.5925</v>
      </c>
      <c r="S26">
        <v>603.5375</v>
      </c>
      <c r="T26">
        <v>389.3825</v>
      </c>
      <c r="U26">
        <v>337.9625</v>
      </c>
      <c r="V26">
        <v>310.21</v>
      </c>
    </row>
    <row r="27" spans="1:22">
      <c r="A27" t="s">
        <v>57</v>
      </c>
      <c r="B27" t="s">
        <v>166</v>
      </c>
      <c r="C27" t="s">
        <v>167</v>
      </c>
      <c r="D27" t="s">
        <v>168</v>
      </c>
      <c r="E27" t="s">
        <v>115</v>
      </c>
      <c r="F27" t="s">
        <v>116</v>
      </c>
      <c r="G27">
        <v>12</v>
      </c>
      <c r="H27">
        <v>3</v>
      </c>
      <c r="I27" t="s">
        <v>169</v>
      </c>
      <c r="J27" t="s">
        <v>64</v>
      </c>
      <c r="K27" t="s">
        <v>170</v>
      </c>
      <c r="L27" t="s">
        <v>171</v>
      </c>
      <c r="M27" t="s">
        <v>172</v>
      </c>
      <c r="N27" t="s">
        <v>172</v>
      </c>
      <c r="O27" t="s">
        <v>72</v>
      </c>
      <c r="P27" t="s">
        <v>72</v>
      </c>
      <c r="Q27" t="s">
        <v>72</v>
      </c>
      <c r="R27">
        <v>1273.1275</v>
      </c>
      <c r="S27">
        <v>835.3425</v>
      </c>
      <c r="T27">
        <v>626.0975</v>
      </c>
      <c r="U27">
        <v>467.295</v>
      </c>
      <c r="V27">
        <v>410.975</v>
      </c>
    </row>
    <row r="28" spans="1:22">
      <c r="A28" t="s">
        <v>57</v>
      </c>
      <c r="B28" t="s">
        <v>173</v>
      </c>
      <c r="C28" t="s">
        <v>167</v>
      </c>
      <c r="D28" t="s">
        <v>168</v>
      </c>
      <c r="E28" t="s">
        <v>115</v>
      </c>
      <c r="F28" t="s">
        <v>116</v>
      </c>
      <c r="G28">
        <v>12</v>
      </c>
      <c r="H28">
        <v>3</v>
      </c>
      <c r="I28" t="s">
        <v>169</v>
      </c>
      <c r="J28" t="s">
        <v>64</v>
      </c>
      <c r="K28" t="s">
        <v>170</v>
      </c>
      <c r="L28" t="s">
        <v>171</v>
      </c>
      <c r="M28" t="s">
        <v>174</v>
      </c>
      <c r="N28" t="s">
        <v>174</v>
      </c>
      <c r="O28" t="s">
        <v>72</v>
      </c>
      <c r="P28" t="s">
        <v>72</v>
      </c>
      <c r="Q28" t="s">
        <v>72</v>
      </c>
      <c r="R28">
        <v>1244.6225</v>
      </c>
      <c r="S28">
        <v>775.9275</v>
      </c>
      <c r="T28">
        <v>591.215</v>
      </c>
      <c r="U28">
        <v>450.9575</v>
      </c>
      <c r="V28">
        <v>388.19</v>
      </c>
    </row>
    <row r="29" spans="1:22">
      <c r="A29" t="s">
        <v>57</v>
      </c>
      <c r="B29" t="s">
        <v>175</v>
      </c>
      <c r="C29" t="s">
        <v>167</v>
      </c>
      <c r="D29" t="s">
        <v>168</v>
      </c>
      <c r="E29" t="s">
        <v>115</v>
      </c>
      <c r="F29" t="s">
        <v>116</v>
      </c>
      <c r="G29">
        <v>12</v>
      </c>
      <c r="H29">
        <v>3</v>
      </c>
      <c r="I29" t="s">
        <v>169</v>
      </c>
      <c r="J29" t="s">
        <v>64</v>
      </c>
      <c r="K29" t="s">
        <v>170</v>
      </c>
      <c r="L29" t="s">
        <v>171</v>
      </c>
      <c r="M29" t="s">
        <v>176</v>
      </c>
      <c r="N29" t="s">
        <v>176</v>
      </c>
      <c r="O29" t="s">
        <v>72</v>
      </c>
      <c r="P29" t="s">
        <v>72</v>
      </c>
      <c r="Q29" t="s">
        <v>72</v>
      </c>
      <c r="R29">
        <v>1510.735</v>
      </c>
      <c r="S29">
        <v>916.0525</v>
      </c>
      <c r="T29">
        <v>663.5</v>
      </c>
      <c r="U29">
        <v>508.825</v>
      </c>
      <c r="V29">
        <v>447.905</v>
      </c>
    </row>
    <row r="30" spans="1:22">
      <c r="A30" t="s">
        <v>57</v>
      </c>
      <c r="B30" t="s">
        <v>177</v>
      </c>
      <c r="C30" t="s">
        <v>178</v>
      </c>
      <c r="D30" t="s">
        <v>168</v>
      </c>
      <c r="E30" t="s">
        <v>115</v>
      </c>
      <c r="F30" t="s">
        <v>116</v>
      </c>
      <c r="G30">
        <v>12</v>
      </c>
      <c r="H30">
        <v>3</v>
      </c>
      <c r="I30" t="s">
        <v>169</v>
      </c>
      <c r="J30" t="s">
        <v>64</v>
      </c>
      <c r="K30" t="s">
        <v>179</v>
      </c>
      <c r="L30" t="s">
        <v>77</v>
      </c>
      <c r="M30" t="s">
        <v>180</v>
      </c>
      <c r="N30" t="s">
        <v>180</v>
      </c>
      <c r="O30" t="s">
        <v>72</v>
      </c>
      <c r="P30" t="s">
        <v>72</v>
      </c>
      <c r="Q30" t="s">
        <v>72</v>
      </c>
      <c r="R30">
        <v>1062.36</v>
      </c>
      <c r="S30">
        <v>671.7</v>
      </c>
      <c r="T30">
        <v>483.5275</v>
      </c>
      <c r="U30">
        <v>367.13</v>
      </c>
      <c r="V30">
        <v>304.3</v>
      </c>
    </row>
    <row r="31" spans="1:22">
      <c r="A31" t="s">
        <v>57</v>
      </c>
      <c r="B31" t="s">
        <v>181</v>
      </c>
      <c r="C31" t="s">
        <v>178</v>
      </c>
      <c r="D31" t="s">
        <v>168</v>
      </c>
      <c r="E31" t="s">
        <v>115</v>
      </c>
      <c r="F31" t="s">
        <v>116</v>
      </c>
      <c r="G31">
        <v>12</v>
      </c>
      <c r="H31">
        <v>3</v>
      </c>
      <c r="I31" t="s">
        <v>169</v>
      </c>
      <c r="J31" t="s">
        <v>64</v>
      </c>
      <c r="K31" t="s">
        <v>179</v>
      </c>
      <c r="L31" t="s">
        <v>77</v>
      </c>
      <c r="M31" t="s">
        <v>182</v>
      </c>
      <c r="N31" t="s">
        <v>182</v>
      </c>
      <c r="O31" t="s">
        <v>72</v>
      </c>
      <c r="P31" t="s">
        <v>72</v>
      </c>
      <c r="Q31" t="s">
        <v>72</v>
      </c>
      <c r="R31">
        <v>1386.1925</v>
      </c>
      <c r="S31">
        <v>801.9275</v>
      </c>
      <c r="T31">
        <v>597.1125</v>
      </c>
      <c r="U31">
        <v>433.835</v>
      </c>
      <c r="V31">
        <v>348.24</v>
      </c>
    </row>
    <row r="32" spans="1:22">
      <c r="A32" t="s">
        <v>57</v>
      </c>
      <c r="B32" t="s">
        <v>183</v>
      </c>
      <c r="C32" t="s">
        <v>178</v>
      </c>
      <c r="D32" t="s">
        <v>168</v>
      </c>
      <c r="E32" t="s">
        <v>115</v>
      </c>
      <c r="F32" t="s">
        <v>116</v>
      </c>
      <c r="G32">
        <v>12</v>
      </c>
      <c r="H32">
        <v>3</v>
      </c>
      <c r="I32" t="s">
        <v>169</v>
      </c>
      <c r="J32" t="s">
        <v>64</v>
      </c>
      <c r="K32" t="s">
        <v>179</v>
      </c>
      <c r="L32" t="s">
        <v>77</v>
      </c>
      <c r="M32" t="s">
        <v>184</v>
      </c>
      <c r="N32" t="s">
        <v>184</v>
      </c>
      <c r="O32" t="s">
        <v>72</v>
      </c>
      <c r="P32" t="s">
        <v>72</v>
      </c>
      <c r="Q32" t="s">
        <v>72</v>
      </c>
      <c r="R32">
        <v>1179.835</v>
      </c>
      <c r="S32">
        <v>706.33</v>
      </c>
      <c r="T32">
        <v>519.52</v>
      </c>
      <c r="U32">
        <v>388.55</v>
      </c>
      <c r="V32">
        <v>322.685</v>
      </c>
    </row>
    <row r="33" spans="1:22">
      <c r="A33" t="s">
        <v>57</v>
      </c>
      <c r="B33" t="s">
        <v>185</v>
      </c>
      <c r="C33" t="s">
        <v>186</v>
      </c>
      <c r="D33" t="s">
        <v>60</v>
      </c>
      <c r="E33" t="s">
        <v>107</v>
      </c>
      <c r="F33" t="s">
        <v>107</v>
      </c>
      <c r="G33">
        <v>12</v>
      </c>
      <c r="H33">
        <v>1</v>
      </c>
      <c r="I33" t="s">
        <v>169</v>
      </c>
      <c r="J33" t="s">
        <v>64</v>
      </c>
      <c r="K33" t="s">
        <v>187</v>
      </c>
      <c r="L33" t="s">
        <v>188</v>
      </c>
      <c r="M33" t="s">
        <v>189</v>
      </c>
      <c r="N33" t="s">
        <v>189</v>
      </c>
      <c r="O33" t="s">
        <v>72</v>
      </c>
      <c r="P33" t="s">
        <v>72</v>
      </c>
      <c r="Q33" t="s">
        <v>72</v>
      </c>
      <c r="R33">
        <v>663.955</v>
      </c>
      <c r="S33">
        <v>478.19</v>
      </c>
      <c r="T33">
        <v>340.3</v>
      </c>
      <c r="U33">
        <v>251.5975</v>
      </c>
      <c r="V33">
        <v>204.045</v>
      </c>
    </row>
    <row r="34" spans="1:22">
      <c r="A34" t="s">
        <v>57</v>
      </c>
      <c r="B34" t="s">
        <v>190</v>
      </c>
      <c r="C34" t="s">
        <v>191</v>
      </c>
      <c r="D34" t="s">
        <v>60</v>
      </c>
      <c r="E34" t="s">
        <v>107</v>
      </c>
      <c r="F34" t="s">
        <v>62</v>
      </c>
      <c r="G34">
        <v>12</v>
      </c>
      <c r="H34">
        <v>2</v>
      </c>
      <c r="I34" t="s">
        <v>169</v>
      </c>
      <c r="J34" t="s">
        <v>64</v>
      </c>
      <c r="K34" t="s">
        <v>179</v>
      </c>
      <c r="L34" t="s">
        <v>77</v>
      </c>
      <c r="M34" t="s">
        <v>192</v>
      </c>
      <c r="N34" t="s">
        <v>192</v>
      </c>
      <c r="O34" t="s">
        <v>72</v>
      </c>
      <c r="P34" t="s">
        <v>72</v>
      </c>
      <c r="Q34" t="s">
        <v>72</v>
      </c>
      <c r="R34">
        <v>727.015</v>
      </c>
      <c r="S34">
        <v>505.245</v>
      </c>
      <c r="T34">
        <v>355.61</v>
      </c>
      <c r="U34">
        <v>268.8575</v>
      </c>
      <c r="V34">
        <v>213.91</v>
      </c>
    </row>
    <row r="35" spans="1:22">
      <c r="A35" t="s">
        <v>57</v>
      </c>
      <c r="B35" t="s">
        <v>193</v>
      </c>
      <c r="C35" t="s">
        <v>191</v>
      </c>
      <c r="D35" t="s">
        <v>60</v>
      </c>
      <c r="E35" t="s">
        <v>107</v>
      </c>
      <c r="F35" t="s">
        <v>62</v>
      </c>
      <c r="G35">
        <v>12</v>
      </c>
      <c r="H35">
        <v>2</v>
      </c>
      <c r="I35" t="s">
        <v>169</v>
      </c>
      <c r="J35" t="s">
        <v>64</v>
      </c>
      <c r="K35" t="s">
        <v>179</v>
      </c>
      <c r="L35" t="s">
        <v>77</v>
      </c>
      <c r="M35" t="s">
        <v>194</v>
      </c>
      <c r="N35" t="s">
        <v>194</v>
      </c>
      <c r="O35" t="s">
        <v>72</v>
      </c>
      <c r="P35" t="s">
        <v>72</v>
      </c>
      <c r="Q35" t="s">
        <v>72</v>
      </c>
      <c r="R35">
        <v>790.303333333333</v>
      </c>
      <c r="S35">
        <v>575.66</v>
      </c>
      <c r="T35">
        <v>399.78</v>
      </c>
      <c r="U35">
        <v>306.9125</v>
      </c>
      <c r="V35">
        <v>252.775</v>
      </c>
    </row>
    <row r="36" spans="1:22">
      <c r="A36" t="s">
        <v>57</v>
      </c>
      <c r="B36" t="s">
        <v>195</v>
      </c>
      <c r="C36" t="s">
        <v>191</v>
      </c>
      <c r="D36" t="s">
        <v>60</v>
      </c>
      <c r="E36" t="s">
        <v>107</v>
      </c>
      <c r="F36" t="s">
        <v>62</v>
      </c>
      <c r="G36">
        <v>12</v>
      </c>
      <c r="H36">
        <v>2</v>
      </c>
      <c r="I36" t="s">
        <v>169</v>
      </c>
      <c r="J36" t="s">
        <v>64</v>
      </c>
      <c r="K36" t="s">
        <v>179</v>
      </c>
      <c r="L36" t="s">
        <v>77</v>
      </c>
      <c r="M36" t="s">
        <v>196</v>
      </c>
      <c r="N36" t="s">
        <v>196</v>
      </c>
      <c r="O36" t="s">
        <v>72</v>
      </c>
      <c r="P36" t="s">
        <v>72</v>
      </c>
      <c r="Q36" t="s">
        <v>72</v>
      </c>
      <c r="R36">
        <v>901.2275</v>
      </c>
      <c r="S36">
        <v>633.05</v>
      </c>
      <c r="T36">
        <v>438.815</v>
      </c>
      <c r="U36">
        <v>341.57</v>
      </c>
      <c r="V36">
        <v>272.505</v>
      </c>
    </row>
    <row r="37" spans="1:22">
      <c r="A37" t="s">
        <v>57</v>
      </c>
      <c r="B37" t="s">
        <v>197</v>
      </c>
      <c r="C37" t="s">
        <v>186</v>
      </c>
      <c r="D37" t="s">
        <v>60</v>
      </c>
      <c r="E37" t="s">
        <v>107</v>
      </c>
      <c r="F37" t="s">
        <v>107</v>
      </c>
      <c r="G37">
        <v>12</v>
      </c>
      <c r="H37">
        <v>1</v>
      </c>
      <c r="I37" t="s">
        <v>169</v>
      </c>
      <c r="J37" t="s">
        <v>64</v>
      </c>
      <c r="K37" t="s">
        <v>187</v>
      </c>
      <c r="L37" t="s">
        <v>188</v>
      </c>
      <c r="M37" t="s">
        <v>198</v>
      </c>
      <c r="N37" t="s">
        <v>198</v>
      </c>
      <c r="O37" t="s">
        <v>72</v>
      </c>
      <c r="P37" t="s">
        <v>72</v>
      </c>
      <c r="Q37" t="s">
        <v>72</v>
      </c>
      <c r="R37">
        <v>740.975</v>
      </c>
      <c r="S37">
        <v>528.02</v>
      </c>
      <c r="T37">
        <v>380.4625</v>
      </c>
      <c r="U37">
        <v>287.335</v>
      </c>
      <c r="V37">
        <v>227.12</v>
      </c>
    </row>
    <row r="38" spans="1:22">
      <c r="A38" t="s">
        <v>57</v>
      </c>
      <c r="B38" t="s">
        <v>199</v>
      </c>
      <c r="C38" t="s">
        <v>186</v>
      </c>
      <c r="D38" t="s">
        <v>60</v>
      </c>
      <c r="E38" t="s">
        <v>107</v>
      </c>
      <c r="F38" t="s">
        <v>107</v>
      </c>
      <c r="G38">
        <v>12</v>
      </c>
      <c r="H38">
        <v>1</v>
      </c>
      <c r="I38" t="s">
        <v>169</v>
      </c>
      <c r="J38" t="s">
        <v>64</v>
      </c>
      <c r="K38" t="s">
        <v>187</v>
      </c>
      <c r="L38" t="s">
        <v>188</v>
      </c>
      <c r="M38" t="s">
        <v>200</v>
      </c>
      <c r="N38" t="s">
        <v>200</v>
      </c>
      <c r="O38" t="s">
        <v>72</v>
      </c>
      <c r="P38" t="s">
        <v>72</v>
      </c>
      <c r="Q38" t="s">
        <v>72</v>
      </c>
      <c r="R38">
        <v>596.05</v>
      </c>
      <c r="S38">
        <v>422.1225</v>
      </c>
      <c r="T38">
        <v>298.62</v>
      </c>
      <c r="U38">
        <v>222.78</v>
      </c>
      <c r="V38">
        <v>184.075</v>
      </c>
    </row>
    <row r="39" spans="1:22">
      <c r="A39" t="s">
        <v>144</v>
      </c>
      <c r="B39" t="s">
        <v>201</v>
      </c>
      <c r="C39" t="s">
        <v>202</v>
      </c>
      <c r="D39" t="s">
        <v>93</v>
      </c>
      <c r="E39" t="s">
        <v>147</v>
      </c>
      <c r="F39" t="s">
        <v>203</v>
      </c>
      <c r="G39">
        <v>48</v>
      </c>
      <c r="H39">
        <v>2</v>
      </c>
      <c r="I39" t="s">
        <v>156</v>
      </c>
      <c r="J39" t="s">
        <v>64</v>
      </c>
      <c r="K39" t="s">
        <v>103</v>
      </c>
      <c r="L39" t="s">
        <v>204</v>
      </c>
      <c r="M39" t="s">
        <v>205</v>
      </c>
      <c r="N39" t="s">
        <v>205</v>
      </c>
      <c r="O39" t="s">
        <v>72</v>
      </c>
      <c r="P39" t="s">
        <v>72</v>
      </c>
      <c r="Q39" t="s">
        <v>72</v>
      </c>
      <c r="R39">
        <v>340.475</v>
      </c>
      <c r="S39">
        <v>261.5425</v>
      </c>
      <c r="T39">
        <v>221.6175</v>
      </c>
      <c r="U39">
        <v>169.8425</v>
      </c>
      <c r="V39">
        <v>172.525</v>
      </c>
    </row>
    <row r="40" spans="1:22">
      <c r="A40" t="s">
        <v>144</v>
      </c>
      <c r="B40" t="s">
        <v>206</v>
      </c>
      <c r="C40" t="s">
        <v>207</v>
      </c>
      <c r="D40" t="s">
        <v>168</v>
      </c>
      <c r="E40" t="s">
        <v>147</v>
      </c>
      <c r="F40" t="s">
        <v>208</v>
      </c>
      <c r="G40">
        <v>64</v>
      </c>
      <c r="H40">
        <v>2</v>
      </c>
      <c r="I40" t="s">
        <v>209</v>
      </c>
      <c r="J40" t="s">
        <v>210</v>
      </c>
      <c r="K40" t="s">
        <v>103</v>
      </c>
      <c r="L40" t="s">
        <v>211</v>
      </c>
      <c r="M40" t="s">
        <v>212</v>
      </c>
      <c r="N40" t="s">
        <v>212</v>
      </c>
      <c r="O40" t="s">
        <v>72</v>
      </c>
      <c r="P40" t="s">
        <v>72</v>
      </c>
      <c r="Q40" t="s">
        <v>72</v>
      </c>
      <c r="R40">
        <v>256.41</v>
      </c>
      <c r="S40">
        <v>210.4425</v>
      </c>
      <c r="T40">
        <v>160.0275</v>
      </c>
      <c r="U40">
        <v>135.73</v>
      </c>
      <c r="V40">
        <v>123.74</v>
      </c>
    </row>
    <row r="41" spans="1:22">
      <c r="A41" t="s">
        <v>144</v>
      </c>
      <c r="B41" t="s">
        <v>213</v>
      </c>
      <c r="C41" t="s">
        <v>214</v>
      </c>
      <c r="D41" t="s">
        <v>102</v>
      </c>
      <c r="E41" t="s">
        <v>147</v>
      </c>
      <c r="F41" t="s">
        <v>215</v>
      </c>
      <c r="G41">
        <v>50</v>
      </c>
      <c r="H41">
        <v>2</v>
      </c>
      <c r="I41" t="s">
        <v>216</v>
      </c>
      <c r="J41" t="s">
        <v>64</v>
      </c>
      <c r="K41" t="s">
        <v>163</v>
      </c>
      <c r="L41" t="s">
        <v>171</v>
      </c>
      <c r="M41" t="s">
        <v>217</v>
      </c>
      <c r="N41" t="s">
        <v>217</v>
      </c>
      <c r="O41" t="s">
        <v>72</v>
      </c>
      <c r="P41" t="s">
        <v>72</v>
      </c>
      <c r="Q41" t="s">
        <v>72</v>
      </c>
      <c r="R41">
        <v>818.47</v>
      </c>
      <c r="S41">
        <v>550.0325</v>
      </c>
      <c r="T41">
        <v>402.0075</v>
      </c>
      <c r="U41">
        <v>317.9225</v>
      </c>
      <c r="V41">
        <v>329.42</v>
      </c>
    </row>
    <row r="42" spans="1:22">
      <c r="A42" t="s">
        <v>144</v>
      </c>
      <c r="B42" t="s">
        <v>218</v>
      </c>
      <c r="C42" t="s">
        <v>219</v>
      </c>
      <c r="D42" t="s">
        <v>93</v>
      </c>
      <c r="E42" t="s">
        <v>147</v>
      </c>
      <c r="F42" t="s">
        <v>215</v>
      </c>
      <c r="G42">
        <v>50</v>
      </c>
      <c r="H42">
        <v>2</v>
      </c>
      <c r="I42" t="s">
        <v>216</v>
      </c>
      <c r="J42" t="s">
        <v>64</v>
      </c>
      <c r="K42" t="s">
        <v>163</v>
      </c>
      <c r="L42" t="s">
        <v>204</v>
      </c>
      <c r="M42" t="s">
        <v>220</v>
      </c>
      <c r="N42" t="s">
        <v>220</v>
      </c>
      <c r="O42" t="s">
        <v>72</v>
      </c>
      <c r="P42" t="s">
        <v>72</v>
      </c>
      <c r="Q42" t="s">
        <v>72</v>
      </c>
      <c r="R42">
        <v>592.403333333333</v>
      </c>
      <c r="S42">
        <v>397.3675</v>
      </c>
      <c r="T42">
        <v>252.1575</v>
      </c>
      <c r="U42">
        <v>203.0425</v>
      </c>
      <c r="V42">
        <v>182.13</v>
      </c>
    </row>
    <row r="43" spans="1:22">
      <c r="A43" t="s">
        <v>90</v>
      </c>
      <c r="B43" t="s">
        <v>221</v>
      </c>
      <c r="C43" t="s">
        <v>214</v>
      </c>
      <c r="D43" t="s">
        <v>93</v>
      </c>
      <c r="E43" t="s">
        <v>94</v>
      </c>
      <c r="F43" t="s">
        <v>161</v>
      </c>
      <c r="G43">
        <v>108</v>
      </c>
      <c r="H43">
        <v>2</v>
      </c>
      <c r="I43" t="s">
        <v>162</v>
      </c>
      <c r="J43" t="s">
        <v>64</v>
      </c>
      <c r="K43" t="s">
        <v>103</v>
      </c>
      <c r="L43" t="s">
        <v>171</v>
      </c>
      <c r="M43" t="s">
        <v>222</v>
      </c>
      <c r="N43" t="s">
        <v>222</v>
      </c>
      <c r="O43" t="s">
        <v>72</v>
      </c>
      <c r="P43" t="s">
        <v>72</v>
      </c>
      <c r="Q43" t="s">
        <v>72</v>
      </c>
      <c r="R43">
        <v>653.066666666667</v>
      </c>
      <c r="S43">
        <v>479.0925</v>
      </c>
      <c r="T43">
        <v>285.9275</v>
      </c>
      <c r="U43">
        <v>253.3225</v>
      </c>
      <c r="V43">
        <v>236.96</v>
      </c>
    </row>
    <row r="44" spans="1:22">
      <c r="A44" t="s">
        <v>144</v>
      </c>
      <c r="B44" t="s">
        <v>223</v>
      </c>
      <c r="C44" t="s">
        <v>178</v>
      </c>
      <c r="D44" t="s">
        <v>93</v>
      </c>
      <c r="E44" t="s">
        <v>136</v>
      </c>
      <c r="F44" t="s">
        <v>137</v>
      </c>
      <c r="G44">
        <v>50</v>
      </c>
      <c r="H44">
        <v>2</v>
      </c>
      <c r="I44" t="s">
        <v>224</v>
      </c>
      <c r="J44" t="s">
        <v>64</v>
      </c>
      <c r="K44" t="s">
        <v>163</v>
      </c>
      <c r="L44" t="s">
        <v>225</v>
      </c>
      <c r="M44" t="s">
        <v>226</v>
      </c>
      <c r="N44" t="s">
        <v>226</v>
      </c>
      <c r="O44" t="s">
        <v>72</v>
      </c>
      <c r="P44" t="s">
        <v>72</v>
      </c>
      <c r="Q44" t="s">
        <v>72</v>
      </c>
      <c r="R44" t="s">
        <v>72</v>
      </c>
      <c r="S44">
        <v>407.1225</v>
      </c>
      <c r="T44">
        <v>387.39</v>
      </c>
      <c r="U44">
        <v>299.74</v>
      </c>
      <c r="V44">
        <v>177.64</v>
      </c>
    </row>
    <row r="45" spans="1:22">
      <c r="A45" t="s">
        <v>144</v>
      </c>
      <c r="B45" t="s">
        <v>227</v>
      </c>
      <c r="C45" t="s">
        <v>178</v>
      </c>
      <c r="D45" t="s">
        <v>60</v>
      </c>
      <c r="E45" t="s">
        <v>147</v>
      </c>
      <c r="F45" t="s">
        <v>228</v>
      </c>
      <c r="G45">
        <v>13</v>
      </c>
      <c r="H45">
        <v>2</v>
      </c>
      <c r="I45" t="s">
        <v>229</v>
      </c>
      <c r="J45" t="s">
        <v>230</v>
      </c>
      <c r="K45" t="s">
        <v>231</v>
      </c>
      <c r="L45" t="s">
        <v>211</v>
      </c>
      <c r="M45" t="s">
        <v>232</v>
      </c>
      <c r="N45" t="s">
        <v>232</v>
      </c>
      <c r="O45" t="s">
        <v>72</v>
      </c>
      <c r="P45" t="s">
        <v>72</v>
      </c>
      <c r="Q45" t="s">
        <v>72</v>
      </c>
      <c r="R45">
        <v>192.86</v>
      </c>
      <c r="S45">
        <v>165.265</v>
      </c>
      <c r="T45">
        <v>116.2375</v>
      </c>
      <c r="U45">
        <v>87.1825</v>
      </c>
      <c r="V45">
        <v>86.9</v>
      </c>
    </row>
    <row r="46" spans="1:22">
      <c r="A46" t="s">
        <v>144</v>
      </c>
      <c r="B46" t="s">
        <v>233</v>
      </c>
      <c r="C46" t="s">
        <v>234</v>
      </c>
      <c r="D46" t="s">
        <v>60</v>
      </c>
      <c r="E46" t="s">
        <v>235</v>
      </c>
      <c r="F46" t="s">
        <v>228</v>
      </c>
      <c r="G46">
        <v>13</v>
      </c>
      <c r="H46">
        <v>2</v>
      </c>
      <c r="I46" t="s">
        <v>236</v>
      </c>
      <c r="J46" t="s">
        <v>230</v>
      </c>
      <c r="K46" t="s">
        <v>231</v>
      </c>
      <c r="L46" t="s">
        <v>237</v>
      </c>
      <c r="M46" t="s">
        <v>238</v>
      </c>
      <c r="N46" t="s">
        <v>238</v>
      </c>
      <c r="O46" t="s">
        <v>72</v>
      </c>
      <c r="P46" t="s">
        <v>72</v>
      </c>
      <c r="Q46" t="s">
        <v>72</v>
      </c>
      <c r="R46">
        <v>142.645</v>
      </c>
      <c r="S46">
        <v>133.41</v>
      </c>
      <c r="T46">
        <v>102.905</v>
      </c>
      <c r="U46">
        <v>82.0425</v>
      </c>
      <c r="V46">
        <v>79.97</v>
      </c>
    </row>
    <row r="47" spans="1:22">
      <c r="A47" t="s">
        <v>57</v>
      </c>
      <c r="B47" t="s">
        <v>239</v>
      </c>
      <c r="C47" t="s">
        <v>240</v>
      </c>
      <c r="D47" t="s">
        <v>60</v>
      </c>
      <c r="E47" t="s">
        <v>107</v>
      </c>
      <c r="F47" t="s">
        <v>107</v>
      </c>
      <c r="G47">
        <v>12</v>
      </c>
      <c r="H47">
        <v>1</v>
      </c>
      <c r="I47" t="s">
        <v>241</v>
      </c>
      <c r="J47" t="s">
        <v>64</v>
      </c>
      <c r="K47" t="s">
        <v>242</v>
      </c>
      <c r="L47" t="s">
        <v>188</v>
      </c>
      <c r="M47" t="s">
        <v>243</v>
      </c>
      <c r="N47" t="s">
        <v>243</v>
      </c>
      <c r="O47" t="s">
        <v>72</v>
      </c>
      <c r="P47" t="s">
        <v>72</v>
      </c>
      <c r="Q47" t="s">
        <v>72</v>
      </c>
      <c r="R47" t="s">
        <v>72</v>
      </c>
      <c r="S47">
        <v>829.0875</v>
      </c>
      <c r="T47">
        <v>674.99</v>
      </c>
      <c r="U47">
        <v>509.85</v>
      </c>
      <c r="V47">
        <v>425.43</v>
      </c>
    </row>
    <row r="48" spans="1:22">
      <c r="A48" t="s">
        <v>57</v>
      </c>
      <c r="B48" t="s">
        <v>244</v>
      </c>
      <c r="C48" t="s">
        <v>240</v>
      </c>
      <c r="D48" t="s">
        <v>60</v>
      </c>
      <c r="E48" t="s">
        <v>107</v>
      </c>
      <c r="F48" t="s">
        <v>107</v>
      </c>
      <c r="G48">
        <v>12</v>
      </c>
      <c r="H48">
        <v>1</v>
      </c>
      <c r="I48" t="s">
        <v>241</v>
      </c>
      <c r="J48" t="s">
        <v>64</v>
      </c>
      <c r="K48" t="s">
        <v>242</v>
      </c>
      <c r="L48" t="s">
        <v>188</v>
      </c>
      <c r="M48" t="s">
        <v>245</v>
      </c>
      <c r="N48" t="s">
        <v>245</v>
      </c>
      <c r="O48" t="s">
        <v>72</v>
      </c>
      <c r="P48" t="s">
        <v>72</v>
      </c>
      <c r="Q48" t="s">
        <v>72</v>
      </c>
      <c r="R48" t="s">
        <v>72</v>
      </c>
      <c r="S48">
        <v>696.1675</v>
      </c>
      <c r="T48">
        <v>536.595</v>
      </c>
      <c r="U48">
        <v>405.4175</v>
      </c>
      <c r="V48">
        <v>322.665</v>
      </c>
    </row>
    <row r="49" spans="1:22">
      <c r="A49" t="s">
        <v>57</v>
      </c>
      <c r="B49" t="s">
        <v>246</v>
      </c>
      <c r="C49" t="s">
        <v>240</v>
      </c>
      <c r="D49" t="s">
        <v>60</v>
      </c>
      <c r="E49" t="s">
        <v>107</v>
      </c>
      <c r="F49" t="s">
        <v>107</v>
      </c>
      <c r="G49">
        <v>12</v>
      </c>
      <c r="H49">
        <v>1</v>
      </c>
      <c r="I49" t="s">
        <v>241</v>
      </c>
      <c r="J49" t="s">
        <v>64</v>
      </c>
      <c r="K49" t="s">
        <v>242</v>
      </c>
      <c r="L49" t="s">
        <v>188</v>
      </c>
      <c r="M49" t="s">
        <v>247</v>
      </c>
      <c r="N49" t="s">
        <v>247</v>
      </c>
      <c r="O49" t="s">
        <v>72</v>
      </c>
      <c r="P49" t="s">
        <v>72</v>
      </c>
      <c r="Q49" t="s">
        <v>72</v>
      </c>
      <c r="R49">
        <v>686.24</v>
      </c>
      <c r="S49">
        <v>609.0975</v>
      </c>
      <c r="T49">
        <v>468.95</v>
      </c>
      <c r="U49">
        <v>350.525</v>
      </c>
      <c r="V49">
        <v>274.58</v>
      </c>
    </row>
    <row r="50" spans="1:22">
      <c r="A50" t="s">
        <v>57</v>
      </c>
      <c r="B50" t="s">
        <v>248</v>
      </c>
      <c r="C50" t="s">
        <v>249</v>
      </c>
      <c r="D50" t="s">
        <v>60</v>
      </c>
      <c r="E50" t="s">
        <v>107</v>
      </c>
      <c r="F50" t="s">
        <v>62</v>
      </c>
      <c r="G50">
        <v>12</v>
      </c>
      <c r="H50">
        <v>2</v>
      </c>
      <c r="I50" t="s">
        <v>241</v>
      </c>
      <c r="J50" t="s">
        <v>64</v>
      </c>
      <c r="K50" t="s">
        <v>250</v>
      </c>
      <c r="L50" t="s">
        <v>77</v>
      </c>
      <c r="M50" t="s">
        <v>251</v>
      </c>
      <c r="N50" t="s">
        <v>251</v>
      </c>
      <c r="O50" t="s">
        <v>72</v>
      </c>
      <c r="P50" t="s">
        <v>72</v>
      </c>
      <c r="Q50" t="s">
        <v>72</v>
      </c>
      <c r="R50" t="s">
        <v>72</v>
      </c>
      <c r="S50">
        <v>792.1225</v>
      </c>
      <c r="T50">
        <v>601.7775</v>
      </c>
      <c r="U50">
        <v>430.3725</v>
      </c>
      <c r="V50">
        <v>324.915</v>
      </c>
    </row>
    <row r="51" spans="1:22">
      <c r="A51" t="s">
        <v>57</v>
      </c>
      <c r="B51" t="s">
        <v>252</v>
      </c>
      <c r="C51" t="s">
        <v>249</v>
      </c>
      <c r="D51" t="s">
        <v>60</v>
      </c>
      <c r="E51" t="s">
        <v>107</v>
      </c>
      <c r="F51" t="s">
        <v>62</v>
      </c>
      <c r="G51">
        <v>12</v>
      </c>
      <c r="H51">
        <v>2</v>
      </c>
      <c r="I51" t="s">
        <v>241</v>
      </c>
      <c r="J51" t="s">
        <v>64</v>
      </c>
      <c r="K51" t="s">
        <v>250</v>
      </c>
      <c r="L51" t="s">
        <v>77</v>
      </c>
      <c r="M51" t="s">
        <v>253</v>
      </c>
      <c r="N51" t="s">
        <v>253</v>
      </c>
      <c r="O51" t="s">
        <v>72</v>
      </c>
      <c r="P51" t="s">
        <v>72</v>
      </c>
      <c r="Q51" t="s">
        <v>72</v>
      </c>
      <c r="R51" t="s">
        <v>72</v>
      </c>
      <c r="S51">
        <v>743.36</v>
      </c>
      <c r="T51">
        <v>563.35</v>
      </c>
      <c r="U51">
        <v>395.545</v>
      </c>
      <c r="V51">
        <v>302.1</v>
      </c>
    </row>
    <row r="52" spans="1:22">
      <c r="A52" t="s">
        <v>57</v>
      </c>
      <c r="B52" t="s">
        <v>254</v>
      </c>
      <c r="C52" t="s">
        <v>249</v>
      </c>
      <c r="D52" t="s">
        <v>60</v>
      </c>
      <c r="E52" t="s">
        <v>107</v>
      </c>
      <c r="F52" t="s">
        <v>62</v>
      </c>
      <c r="G52">
        <v>12</v>
      </c>
      <c r="H52">
        <v>2</v>
      </c>
      <c r="I52" t="s">
        <v>241</v>
      </c>
      <c r="J52" t="s">
        <v>64</v>
      </c>
      <c r="K52" t="s">
        <v>250</v>
      </c>
      <c r="L52" t="s">
        <v>77</v>
      </c>
      <c r="M52" t="s">
        <v>255</v>
      </c>
      <c r="N52" t="s">
        <v>255</v>
      </c>
      <c r="O52" t="s">
        <v>72</v>
      </c>
      <c r="P52" t="s">
        <v>72</v>
      </c>
      <c r="Q52" t="s">
        <v>72</v>
      </c>
      <c r="R52" t="s">
        <v>72</v>
      </c>
      <c r="S52">
        <v>895.815</v>
      </c>
      <c r="T52">
        <v>703.87</v>
      </c>
      <c r="U52">
        <v>508.395</v>
      </c>
      <c r="V52">
        <v>381.19</v>
      </c>
    </row>
    <row r="53" spans="1:22">
      <c r="A53" t="s">
        <v>57</v>
      </c>
      <c r="B53" t="s">
        <v>256</v>
      </c>
      <c r="C53" t="s">
        <v>257</v>
      </c>
      <c r="D53" t="s">
        <v>168</v>
      </c>
      <c r="E53" t="s">
        <v>115</v>
      </c>
      <c r="F53" t="s">
        <v>116</v>
      </c>
      <c r="G53">
        <v>12</v>
      </c>
      <c r="H53">
        <v>3</v>
      </c>
      <c r="I53" t="s">
        <v>241</v>
      </c>
      <c r="J53" t="s">
        <v>64</v>
      </c>
      <c r="K53" t="s">
        <v>258</v>
      </c>
      <c r="L53" t="s">
        <v>77</v>
      </c>
      <c r="M53" t="s">
        <v>259</v>
      </c>
      <c r="N53" t="s">
        <v>259</v>
      </c>
      <c r="O53" t="s">
        <v>72</v>
      </c>
      <c r="P53" t="s">
        <v>72</v>
      </c>
      <c r="Q53" t="s">
        <v>72</v>
      </c>
      <c r="R53" t="s">
        <v>72</v>
      </c>
      <c r="S53">
        <v>1289.05</v>
      </c>
      <c r="T53">
        <v>817.6975</v>
      </c>
      <c r="U53">
        <v>584.5275</v>
      </c>
      <c r="V53">
        <v>437.645</v>
      </c>
    </row>
    <row r="54" spans="1:22">
      <c r="A54" t="s">
        <v>57</v>
      </c>
      <c r="B54" t="s">
        <v>260</v>
      </c>
      <c r="C54" t="s">
        <v>261</v>
      </c>
      <c r="D54" t="s">
        <v>168</v>
      </c>
      <c r="E54" t="s">
        <v>115</v>
      </c>
      <c r="F54" t="s">
        <v>116</v>
      </c>
      <c r="G54">
        <v>12</v>
      </c>
      <c r="H54">
        <v>3</v>
      </c>
      <c r="I54" t="s">
        <v>241</v>
      </c>
      <c r="J54" t="s">
        <v>64</v>
      </c>
      <c r="K54" t="s">
        <v>262</v>
      </c>
      <c r="L54" t="s">
        <v>171</v>
      </c>
      <c r="M54" t="s">
        <v>263</v>
      </c>
      <c r="N54" t="s">
        <v>264</v>
      </c>
      <c r="O54" t="s">
        <v>72</v>
      </c>
      <c r="P54" t="s">
        <v>72</v>
      </c>
      <c r="Q54" t="s">
        <v>72</v>
      </c>
      <c r="R54">
        <v>1300</v>
      </c>
      <c r="S54">
        <v>1024.0125</v>
      </c>
      <c r="T54">
        <v>717.4775</v>
      </c>
      <c r="U54">
        <v>491.4125</v>
      </c>
      <c r="V54">
        <v>380.33</v>
      </c>
    </row>
    <row r="55" spans="1:22">
      <c r="A55" t="s">
        <v>57</v>
      </c>
      <c r="B55" t="s">
        <v>265</v>
      </c>
      <c r="C55" t="s">
        <v>257</v>
      </c>
      <c r="D55" t="s">
        <v>168</v>
      </c>
      <c r="E55" t="s">
        <v>115</v>
      </c>
      <c r="F55" t="s">
        <v>116</v>
      </c>
      <c r="G55">
        <v>12</v>
      </c>
      <c r="H55">
        <v>3</v>
      </c>
      <c r="I55" t="s">
        <v>241</v>
      </c>
      <c r="J55" t="s">
        <v>64</v>
      </c>
      <c r="K55" t="s">
        <v>258</v>
      </c>
      <c r="L55" t="s">
        <v>77</v>
      </c>
      <c r="M55" t="s">
        <v>264</v>
      </c>
      <c r="N55" t="s">
        <v>266</v>
      </c>
      <c r="O55" t="s">
        <v>72</v>
      </c>
      <c r="P55" t="s">
        <v>72</v>
      </c>
      <c r="Q55" t="s">
        <v>72</v>
      </c>
      <c r="R55" t="s">
        <v>72</v>
      </c>
      <c r="S55">
        <v>1284.6175</v>
      </c>
      <c r="T55">
        <v>853.835</v>
      </c>
      <c r="U55">
        <v>617.42</v>
      </c>
      <c r="V55">
        <v>496.97</v>
      </c>
    </row>
    <row r="56" spans="1:22">
      <c r="A56" t="s">
        <v>57</v>
      </c>
      <c r="B56" t="s">
        <v>267</v>
      </c>
      <c r="C56" t="s">
        <v>261</v>
      </c>
      <c r="D56" t="s">
        <v>168</v>
      </c>
      <c r="E56" t="s">
        <v>115</v>
      </c>
      <c r="F56" t="s">
        <v>116</v>
      </c>
      <c r="G56">
        <v>12</v>
      </c>
      <c r="H56">
        <v>3</v>
      </c>
      <c r="I56" t="s">
        <v>241</v>
      </c>
      <c r="J56" t="s">
        <v>64</v>
      </c>
      <c r="K56" t="s">
        <v>262</v>
      </c>
      <c r="L56" t="s">
        <v>171</v>
      </c>
      <c r="M56" t="s">
        <v>268</v>
      </c>
      <c r="N56" t="s">
        <v>263</v>
      </c>
      <c r="O56" t="s">
        <v>72</v>
      </c>
      <c r="P56" t="s">
        <v>72</v>
      </c>
      <c r="Q56" t="s">
        <v>72</v>
      </c>
      <c r="R56" t="s">
        <v>72</v>
      </c>
      <c r="S56">
        <v>1473.69</v>
      </c>
      <c r="T56">
        <v>923.0575</v>
      </c>
      <c r="U56">
        <v>658.9475</v>
      </c>
      <c r="V56">
        <v>535.535</v>
      </c>
    </row>
    <row r="57" spans="1:22">
      <c r="A57" t="s">
        <v>57</v>
      </c>
      <c r="B57" t="s">
        <v>269</v>
      </c>
      <c r="C57" t="s">
        <v>257</v>
      </c>
      <c r="D57" t="s">
        <v>168</v>
      </c>
      <c r="E57" t="s">
        <v>115</v>
      </c>
      <c r="F57" t="s">
        <v>116</v>
      </c>
      <c r="G57">
        <v>12</v>
      </c>
      <c r="H57">
        <v>3</v>
      </c>
      <c r="I57" t="s">
        <v>241</v>
      </c>
      <c r="J57" t="s">
        <v>64</v>
      </c>
      <c r="K57" t="s">
        <v>258</v>
      </c>
      <c r="L57" t="s">
        <v>77</v>
      </c>
      <c r="M57" t="s">
        <v>270</v>
      </c>
      <c r="N57" t="s">
        <v>268</v>
      </c>
      <c r="O57" t="s">
        <v>72</v>
      </c>
      <c r="P57" t="s">
        <v>72</v>
      </c>
      <c r="Q57" t="s">
        <v>72</v>
      </c>
      <c r="R57">
        <v>1400</v>
      </c>
      <c r="S57">
        <v>1163.7125</v>
      </c>
      <c r="T57">
        <v>800.3325</v>
      </c>
      <c r="U57">
        <v>572.3925</v>
      </c>
      <c r="V57">
        <v>451.13</v>
      </c>
    </row>
    <row r="58" spans="1:22">
      <c r="A58" t="s">
        <v>57</v>
      </c>
      <c r="B58" t="s">
        <v>271</v>
      </c>
      <c r="C58" t="s">
        <v>261</v>
      </c>
      <c r="D58" t="s">
        <v>168</v>
      </c>
      <c r="E58" t="s">
        <v>115</v>
      </c>
      <c r="F58" t="s">
        <v>116</v>
      </c>
      <c r="G58">
        <v>12</v>
      </c>
      <c r="H58">
        <v>3</v>
      </c>
      <c r="I58" t="s">
        <v>241</v>
      </c>
      <c r="J58" t="s">
        <v>64</v>
      </c>
      <c r="K58" t="s">
        <v>262</v>
      </c>
      <c r="L58" t="s">
        <v>171</v>
      </c>
      <c r="M58" t="s">
        <v>266</v>
      </c>
      <c r="N58" t="s">
        <v>270</v>
      </c>
      <c r="O58" t="s">
        <v>72</v>
      </c>
      <c r="P58" t="s">
        <v>72</v>
      </c>
      <c r="Q58" t="s">
        <v>72</v>
      </c>
      <c r="R58">
        <v>1433.33</v>
      </c>
      <c r="S58">
        <v>1161.0725</v>
      </c>
      <c r="T58">
        <v>764.92</v>
      </c>
      <c r="U58">
        <v>524.7425</v>
      </c>
      <c r="V58">
        <v>412.74</v>
      </c>
    </row>
    <row r="59" spans="1:22">
      <c r="A59" t="s">
        <v>144</v>
      </c>
      <c r="B59" t="s">
        <v>272</v>
      </c>
      <c r="C59" t="s">
        <v>114</v>
      </c>
      <c r="D59" t="s">
        <v>102</v>
      </c>
      <c r="E59" t="s">
        <v>147</v>
      </c>
      <c r="F59" t="s">
        <v>203</v>
      </c>
      <c r="G59">
        <v>48</v>
      </c>
      <c r="H59">
        <v>2</v>
      </c>
      <c r="I59" t="s">
        <v>156</v>
      </c>
      <c r="J59" t="s">
        <v>64</v>
      </c>
      <c r="K59" t="s">
        <v>163</v>
      </c>
      <c r="L59" t="s">
        <v>204</v>
      </c>
      <c r="M59" t="s">
        <v>273</v>
      </c>
      <c r="N59" t="s">
        <v>273</v>
      </c>
      <c r="O59" t="s">
        <v>72</v>
      </c>
      <c r="P59" t="s">
        <v>72</v>
      </c>
      <c r="Q59" t="s">
        <v>72</v>
      </c>
      <c r="R59" t="s">
        <v>72</v>
      </c>
      <c r="S59">
        <v>307.81</v>
      </c>
      <c r="T59">
        <v>269.7175</v>
      </c>
      <c r="U59">
        <v>194.4075</v>
      </c>
      <c r="V59">
        <v>171.145</v>
      </c>
    </row>
    <row r="60" spans="1:22">
      <c r="A60" t="s">
        <v>133</v>
      </c>
      <c r="B60" t="s">
        <v>274</v>
      </c>
      <c r="C60" t="s">
        <v>202</v>
      </c>
      <c r="D60" t="s">
        <v>102</v>
      </c>
      <c r="E60" t="s">
        <v>136</v>
      </c>
      <c r="F60" t="s">
        <v>275</v>
      </c>
      <c r="G60">
        <v>50</v>
      </c>
      <c r="H60">
        <v>3</v>
      </c>
      <c r="I60" t="s">
        <v>276</v>
      </c>
      <c r="J60" t="s">
        <v>64</v>
      </c>
      <c r="K60" t="s">
        <v>277</v>
      </c>
      <c r="L60" t="s">
        <v>204</v>
      </c>
      <c r="M60" t="s">
        <v>278</v>
      </c>
      <c r="N60" t="s">
        <v>278</v>
      </c>
      <c r="O60" t="s">
        <v>72</v>
      </c>
      <c r="P60" t="s">
        <v>72</v>
      </c>
      <c r="Q60" t="s">
        <v>72</v>
      </c>
      <c r="R60" t="s">
        <v>72</v>
      </c>
      <c r="S60">
        <v>756.933333333333</v>
      </c>
      <c r="T60">
        <v>943.43</v>
      </c>
      <c r="U60">
        <v>953.1775</v>
      </c>
      <c r="V60">
        <v>965.5</v>
      </c>
    </row>
    <row r="61" spans="1:22">
      <c r="A61" t="s">
        <v>133</v>
      </c>
      <c r="B61" t="s">
        <v>279</v>
      </c>
      <c r="C61" t="s">
        <v>101</v>
      </c>
      <c r="D61" t="s">
        <v>93</v>
      </c>
      <c r="E61" t="s">
        <v>136</v>
      </c>
      <c r="F61" t="s">
        <v>280</v>
      </c>
      <c r="G61">
        <v>50</v>
      </c>
      <c r="H61">
        <v>3</v>
      </c>
      <c r="I61" t="s">
        <v>216</v>
      </c>
      <c r="J61" t="s">
        <v>64</v>
      </c>
      <c r="K61" t="s">
        <v>281</v>
      </c>
      <c r="L61" t="s">
        <v>204</v>
      </c>
      <c r="M61" t="s">
        <v>282</v>
      </c>
      <c r="N61" t="s">
        <v>282</v>
      </c>
      <c r="O61" t="s">
        <v>72</v>
      </c>
      <c r="P61" t="s">
        <v>72</v>
      </c>
      <c r="Q61" t="s">
        <v>72</v>
      </c>
      <c r="R61" t="s">
        <v>72</v>
      </c>
      <c r="S61">
        <v>492.21</v>
      </c>
      <c r="T61">
        <v>407.235</v>
      </c>
      <c r="U61">
        <v>525.6125</v>
      </c>
      <c r="V61">
        <v>610</v>
      </c>
    </row>
    <row r="62" spans="1:22">
      <c r="A62" t="s">
        <v>133</v>
      </c>
      <c r="B62" t="s">
        <v>283</v>
      </c>
      <c r="C62" t="s">
        <v>284</v>
      </c>
      <c r="D62" t="s">
        <v>102</v>
      </c>
      <c r="E62" t="s">
        <v>136</v>
      </c>
      <c r="F62" t="s">
        <v>280</v>
      </c>
      <c r="G62">
        <v>50</v>
      </c>
      <c r="H62">
        <v>3</v>
      </c>
      <c r="I62" t="s">
        <v>285</v>
      </c>
      <c r="J62" t="s">
        <v>64</v>
      </c>
      <c r="K62" t="s">
        <v>231</v>
      </c>
      <c r="L62" t="s">
        <v>171</v>
      </c>
      <c r="M62" t="s">
        <v>286</v>
      </c>
      <c r="N62" t="s">
        <v>286</v>
      </c>
      <c r="O62" t="s">
        <v>72</v>
      </c>
      <c r="P62" t="s">
        <v>72</v>
      </c>
      <c r="Q62" t="s">
        <v>72</v>
      </c>
      <c r="R62" t="s">
        <v>72</v>
      </c>
      <c r="S62">
        <v>1278.56</v>
      </c>
      <c r="T62">
        <v>883.3275</v>
      </c>
      <c r="U62">
        <v>1026.5625</v>
      </c>
      <c r="V62">
        <v>1065.33</v>
      </c>
    </row>
    <row r="63" spans="1:22">
      <c r="A63" t="s">
        <v>90</v>
      </c>
      <c r="B63" t="s">
        <v>287</v>
      </c>
      <c r="C63" t="s">
        <v>288</v>
      </c>
      <c r="D63" t="s">
        <v>93</v>
      </c>
      <c r="E63" t="s">
        <v>94</v>
      </c>
      <c r="F63" t="s">
        <v>289</v>
      </c>
      <c r="G63">
        <v>50</v>
      </c>
      <c r="H63">
        <v>2</v>
      </c>
      <c r="I63" t="s">
        <v>290</v>
      </c>
      <c r="J63" t="s">
        <v>64</v>
      </c>
      <c r="K63" t="s">
        <v>291</v>
      </c>
      <c r="L63" t="s">
        <v>77</v>
      </c>
      <c r="M63" t="s">
        <v>292</v>
      </c>
      <c r="N63" t="s">
        <v>292</v>
      </c>
      <c r="O63" t="s">
        <v>72</v>
      </c>
      <c r="P63" t="s">
        <v>72</v>
      </c>
      <c r="Q63" t="s">
        <v>72</v>
      </c>
      <c r="R63" t="s">
        <v>72</v>
      </c>
      <c r="S63">
        <v>560.4975</v>
      </c>
      <c r="T63">
        <v>376.51</v>
      </c>
      <c r="U63">
        <v>268.1325</v>
      </c>
      <c r="V63">
        <v>228.055</v>
      </c>
    </row>
    <row r="64" spans="1:22">
      <c r="A64" t="s">
        <v>133</v>
      </c>
      <c r="B64" t="s">
        <v>293</v>
      </c>
      <c r="C64" t="s">
        <v>294</v>
      </c>
      <c r="D64" t="s">
        <v>102</v>
      </c>
      <c r="E64" t="s">
        <v>136</v>
      </c>
      <c r="F64" t="s">
        <v>295</v>
      </c>
      <c r="G64">
        <v>64</v>
      </c>
      <c r="H64">
        <v>3</v>
      </c>
      <c r="I64" t="s">
        <v>296</v>
      </c>
      <c r="J64" t="s">
        <v>210</v>
      </c>
      <c r="K64" t="s">
        <v>277</v>
      </c>
      <c r="L64" t="s">
        <v>297</v>
      </c>
      <c r="M64" t="s">
        <v>298</v>
      </c>
      <c r="N64" t="s">
        <v>298</v>
      </c>
      <c r="O64" t="s">
        <v>72</v>
      </c>
      <c r="P64" t="s">
        <v>72</v>
      </c>
      <c r="Q64" t="s">
        <v>72</v>
      </c>
      <c r="R64" t="s">
        <v>72</v>
      </c>
      <c r="S64">
        <v>621.59</v>
      </c>
      <c r="T64">
        <v>540.885</v>
      </c>
      <c r="U64">
        <v>517.815</v>
      </c>
      <c r="V64" t="s">
        <v>72</v>
      </c>
    </row>
    <row r="65" spans="1:22">
      <c r="A65" t="s">
        <v>90</v>
      </c>
      <c r="B65" t="s">
        <v>299</v>
      </c>
      <c r="C65" t="s">
        <v>167</v>
      </c>
      <c r="D65" t="s">
        <v>102</v>
      </c>
      <c r="E65" t="s">
        <v>94</v>
      </c>
      <c r="F65" t="s">
        <v>161</v>
      </c>
      <c r="G65">
        <v>108</v>
      </c>
      <c r="H65">
        <v>2</v>
      </c>
      <c r="I65" t="s">
        <v>290</v>
      </c>
      <c r="J65" t="s">
        <v>64</v>
      </c>
      <c r="K65" t="s">
        <v>231</v>
      </c>
      <c r="L65" t="s">
        <v>104</v>
      </c>
      <c r="M65" t="s">
        <v>300</v>
      </c>
      <c r="N65" t="s">
        <v>300</v>
      </c>
      <c r="O65" t="s">
        <v>72</v>
      </c>
      <c r="P65" t="s">
        <v>72</v>
      </c>
      <c r="Q65" t="s">
        <v>72</v>
      </c>
      <c r="R65" t="s">
        <v>72</v>
      </c>
      <c r="S65">
        <v>881.34</v>
      </c>
      <c r="T65">
        <v>645.7125</v>
      </c>
      <c r="U65">
        <v>425.1125</v>
      </c>
      <c r="V65">
        <v>368.615</v>
      </c>
    </row>
    <row r="66" spans="1:22">
      <c r="A66" t="s">
        <v>90</v>
      </c>
      <c r="B66" t="s">
        <v>301</v>
      </c>
      <c r="C66" t="s">
        <v>302</v>
      </c>
      <c r="D66" t="s">
        <v>93</v>
      </c>
      <c r="E66" t="s">
        <v>94</v>
      </c>
      <c r="F66" t="s">
        <v>289</v>
      </c>
      <c r="G66">
        <v>50</v>
      </c>
      <c r="H66">
        <v>2</v>
      </c>
      <c r="I66" t="s">
        <v>290</v>
      </c>
      <c r="J66" t="s">
        <v>210</v>
      </c>
      <c r="K66" t="s">
        <v>163</v>
      </c>
      <c r="L66" t="s">
        <v>303</v>
      </c>
      <c r="M66" t="s">
        <v>304</v>
      </c>
      <c r="N66" t="s">
        <v>304</v>
      </c>
      <c r="O66" t="s">
        <v>72</v>
      </c>
      <c r="P66" t="s">
        <v>72</v>
      </c>
      <c r="Q66" t="s">
        <v>72</v>
      </c>
      <c r="R66" t="s">
        <v>72</v>
      </c>
      <c r="S66">
        <v>615.333333333333</v>
      </c>
      <c r="T66">
        <v>439.1225</v>
      </c>
      <c r="U66">
        <v>310.4525</v>
      </c>
      <c r="V66">
        <v>262.335</v>
      </c>
    </row>
    <row r="67" spans="1:22">
      <c r="A67" t="s">
        <v>90</v>
      </c>
      <c r="B67" t="s">
        <v>305</v>
      </c>
      <c r="C67" t="s">
        <v>288</v>
      </c>
      <c r="D67" t="s">
        <v>93</v>
      </c>
      <c r="E67" t="s">
        <v>94</v>
      </c>
      <c r="F67" t="s">
        <v>289</v>
      </c>
      <c r="G67">
        <v>50</v>
      </c>
      <c r="H67">
        <v>2</v>
      </c>
      <c r="I67" t="s">
        <v>290</v>
      </c>
      <c r="J67" t="s">
        <v>64</v>
      </c>
      <c r="K67" t="s">
        <v>291</v>
      </c>
      <c r="L67" t="s">
        <v>77</v>
      </c>
      <c r="M67" t="s">
        <v>306</v>
      </c>
      <c r="N67" t="s">
        <v>306</v>
      </c>
      <c r="O67" t="s">
        <v>72</v>
      </c>
      <c r="P67" t="s">
        <v>72</v>
      </c>
      <c r="Q67" t="s">
        <v>72</v>
      </c>
      <c r="R67" t="s">
        <v>72</v>
      </c>
      <c r="S67">
        <v>546.203333333333</v>
      </c>
      <c r="T67">
        <v>444.5175</v>
      </c>
      <c r="U67">
        <v>314.0675</v>
      </c>
      <c r="V67">
        <v>271.37</v>
      </c>
    </row>
    <row r="68" spans="1:22">
      <c r="A68" t="s">
        <v>144</v>
      </c>
      <c r="B68" t="s">
        <v>307</v>
      </c>
      <c r="C68" t="s">
        <v>207</v>
      </c>
      <c r="D68" t="s">
        <v>93</v>
      </c>
      <c r="E68" t="s">
        <v>136</v>
      </c>
      <c r="F68" t="s">
        <v>137</v>
      </c>
      <c r="G68">
        <v>50</v>
      </c>
      <c r="H68">
        <v>2</v>
      </c>
      <c r="I68" t="s">
        <v>308</v>
      </c>
      <c r="J68" t="s">
        <v>64</v>
      </c>
      <c r="K68" t="s">
        <v>163</v>
      </c>
      <c r="L68" t="s">
        <v>225</v>
      </c>
      <c r="M68" t="s">
        <v>309</v>
      </c>
      <c r="N68" t="s">
        <v>309</v>
      </c>
      <c r="O68" t="s">
        <v>72</v>
      </c>
      <c r="P68" t="s">
        <v>72</v>
      </c>
      <c r="Q68" t="s">
        <v>72</v>
      </c>
      <c r="R68" t="s">
        <v>72</v>
      </c>
      <c r="S68">
        <v>522.256666666667</v>
      </c>
      <c r="T68">
        <v>390.765</v>
      </c>
      <c r="U68">
        <v>371.595</v>
      </c>
      <c r="V68" t="s">
        <v>72</v>
      </c>
    </row>
    <row r="69" spans="1:22">
      <c r="A69" t="s">
        <v>133</v>
      </c>
      <c r="B69" t="s">
        <v>310</v>
      </c>
      <c r="C69" t="s">
        <v>311</v>
      </c>
      <c r="D69" t="s">
        <v>93</v>
      </c>
      <c r="E69" t="s">
        <v>136</v>
      </c>
      <c r="F69" t="s">
        <v>275</v>
      </c>
      <c r="G69">
        <v>50</v>
      </c>
      <c r="H69">
        <v>3</v>
      </c>
      <c r="I69" t="s">
        <v>312</v>
      </c>
      <c r="J69" t="s">
        <v>64</v>
      </c>
      <c r="K69" t="s">
        <v>277</v>
      </c>
      <c r="L69" t="s">
        <v>297</v>
      </c>
      <c r="M69" t="s">
        <v>313</v>
      </c>
      <c r="N69" t="s">
        <v>313</v>
      </c>
      <c r="O69" t="s">
        <v>72</v>
      </c>
      <c r="P69" t="s">
        <v>72</v>
      </c>
      <c r="Q69" t="s">
        <v>72</v>
      </c>
      <c r="R69" t="s">
        <v>72</v>
      </c>
      <c r="S69">
        <v>531.46</v>
      </c>
      <c r="T69">
        <v>461.435</v>
      </c>
      <c r="U69">
        <v>422.4625</v>
      </c>
      <c r="V69">
        <v>398</v>
      </c>
    </row>
    <row r="70" spans="1:22">
      <c r="A70" t="s">
        <v>90</v>
      </c>
      <c r="B70" t="s">
        <v>314</v>
      </c>
      <c r="C70" t="s">
        <v>315</v>
      </c>
      <c r="D70" t="s">
        <v>60</v>
      </c>
      <c r="E70" t="s">
        <v>316</v>
      </c>
      <c r="F70" t="s">
        <v>147</v>
      </c>
      <c r="G70">
        <v>16</v>
      </c>
      <c r="H70">
        <v>1</v>
      </c>
      <c r="I70" t="s">
        <v>317</v>
      </c>
      <c r="J70" t="s">
        <v>210</v>
      </c>
      <c r="K70" t="s">
        <v>318</v>
      </c>
      <c r="L70" t="s">
        <v>319</v>
      </c>
      <c r="M70" t="s">
        <v>320</v>
      </c>
      <c r="N70" t="s">
        <v>320</v>
      </c>
      <c r="O70" t="s">
        <v>72</v>
      </c>
      <c r="P70" t="s">
        <v>72</v>
      </c>
      <c r="Q70" t="s">
        <v>72</v>
      </c>
      <c r="R70" t="s">
        <v>72</v>
      </c>
      <c r="S70">
        <v>418.853333333333</v>
      </c>
      <c r="T70">
        <v>226.01</v>
      </c>
      <c r="U70">
        <v>208.7125</v>
      </c>
      <c r="V70">
        <v>219.91</v>
      </c>
    </row>
    <row r="71" spans="1:22">
      <c r="A71" t="s">
        <v>90</v>
      </c>
      <c r="B71" t="s">
        <v>321</v>
      </c>
      <c r="C71" t="s">
        <v>167</v>
      </c>
      <c r="D71" t="s">
        <v>102</v>
      </c>
      <c r="E71" t="s">
        <v>94</v>
      </c>
      <c r="F71" t="s">
        <v>161</v>
      </c>
      <c r="G71">
        <v>108</v>
      </c>
      <c r="H71">
        <v>2</v>
      </c>
      <c r="I71" t="s">
        <v>290</v>
      </c>
      <c r="J71" t="s">
        <v>64</v>
      </c>
      <c r="K71" t="s">
        <v>231</v>
      </c>
      <c r="L71" t="s">
        <v>104</v>
      </c>
      <c r="M71" t="s">
        <v>322</v>
      </c>
      <c r="N71" t="s">
        <v>322</v>
      </c>
      <c r="O71" t="s">
        <v>72</v>
      </c>
      <c r="P71" t="s">
        <v>72</v>
      </c>
      <c r="Q71" t="s">
        <v>72</v>
      </c>
      <c r="R71" t="s">
        <v>72</v>
      </c>
      <c r="S71">
        <v>834.435</v>
      </c>
      <c r="T71">
        <v>714.57</v>
      </c>
      <c r="U71">
        <v>478.335</v>
      </c>
      <c r="V71">
        <v>426.025</v>
      </c>
    </row>
    <row r="72" spans="1:22">
      <c r="A72" t="s">
        <v>90</v>
      </c>
      <c r="B72" t="s">
        <v>323</v>
      </c>
      <c r="C72" t="s">
        <v>302</v>
      </c>
      <c r="D72" t="s">
        <v>93</v>
      </c>
      <c r="E72" t="s">
        <v>94</v>
      </c>
      <c r="F72" t="s">
        <v>289</v>
      </c>
      <c r="G72">
        <v>50</v>
      </c>
      <c r="H72">
        <v>2</v>
      </c>
      <c r="I72" t="s">
        <v>290</v>
      </c>
      <c r="J72" t="s">
        <v>64</v>
      </c>
      <c r="K72" t="s">
        <v>163</v>
      </c>
      <c r="L72" t="s">
        <v>303</v>
      </c>
      <c r="M72" t="s">
        <v>324</v>
      </c>
      <c r="N72" t="s">
        <v>324</v>
      </c>
      <c r="O72" t="s">
        <v>72</v>
      </c>
      <c r="P72" t="s">
        <v>72</v>
      </c>
      <c r="Q72" t="s">
        <v>72</v>
      </c>
      <c r="R72" t="s">
        <v>72</v>
      </c>
      <c r="S72">
        <v>705.605</v>
      </c>
      <c r="T72">
        <v>512.7725</v>
      </c>
      <c r="U72">
        <v>356.76</v>
      </c>
      <c r="V72">
        <v>304.145</v>
      </c>
    </row>
    <row r="73" spans="1:22">
      <c r="A73" t="s">
        <v>133</v>
      </c>
      <c r="B73" t="s">
        <v>325</v>
      </c>
      <c r="C73" t="s">
        <v>219</v>
      </c>
      <c r="D73" t="s">
        <v>102</v>
      </c>
      <c r="E73" t="s">
        <v>136</v>
      </c>
      <c r="F73" t="s">
        <v>275</v>
      </c>
      <c r="G73">
        <v>50</v>
      </c>
      <c r="H73">
        <v>3</v>
      </c>
      <c r="I73" t="s">
        <v>326</v>
      </c>
      <c r="J73" t="s">
        <v>64</v>
      </c>
      <c r="K73" t="s">
        <v>277</v>
      </c>
      <c r="L73" t="s">
        <v>171</v>
      </c>
      <c r="M73" t="s">
        <v>327</v>
      </c>
      <c r="N73" t="s">
        <v>327</v>
      </c>
      <c r="O73" t="s">
        <v>72</v>
      </c>
      <c r="P73" t="s">
        <v>72</v>
      </c>
      <c r="Q73" t="s">
        <v>72</v>
      </c>
      <c r="R73" t="s">
        <v>72</v>
      </c>
      <c r="S73">
        <v>759.46</v>
      </c>
      <c r="T73">
        <v>674.4675</v>
      </c>
      <c r="U73">
        <v>530.82</v>
      </c>
      <c r="V73">
        <v>557.56</v>
      </c>
    </row>
    <row r="74" spans="1:22">
      <c r="A74" t="s">
        <v>144</v>
      </c>
      <c r="B74" t="s">
        <v>328</v>
      </c>
      <c r="C74" t="s">
        <v>329</v>
      </c>
      <c r="D74" t="s">
        <v>102</v>
      </c>
      <c r="E74" t="s">
        <v>136</v>
      </c>
      <c r="F74" t="s">
        <v>330</v>
      </c>
      <c r="G74">
        <v>50</v>
      </c>
      <c r="H74">
        <v>2</v>
      </c>
      <c r="I74" t="s">
        <v>285</v>
      </c>
      <c r="J74" t="s">
        <v>210</v>
      </c>
      <c r="K74" t="s">
        <v>231</v>
      </c>
      <c r="L74" t="s">
        <v>171</v>
      </c>
      <c r="M74" t="s">
        <v>331</v>
      </c>
      <c r="N74" t="s">
        <v>331</v>
      </c>
      <c r="O74" t="s">
        <v>72</v>
      </c>
      <c r="P74" t="s">
        <v>72</v>
      </c>
      <c r="Q74" t="s">
        <v>72</v>
      </c>
      <c r="R74" t="s">
        <v>72</v>
      </c>
      <c r="S74" t="s">
        <v>72</v>
      </c>
      <c r="T74">
        <v>540.37</v>
      </c>
      <c r="U74">
        <v>381.025</v>
      </c>
      <c r="V74">
        <v>349.935</v>
      </c>
    </row>
    <row r="75" spans="1:22">
      <c r="A75" t="s">
        <v>90</v>
      </c>
      <c r="B75" t="s">
        <v>332</v>
      </c>
      <c r="C75" t="s">
        <v>333</v>
      </c>
      <c r="D75" t="s">
        <v>102</v>
      </c>
      <c r="E75" t="s">
        <v>94</v>
      </c>
      <c r="F75" t="s">
        <v>289</v>
      </c>
      <c r="G75">
        <v>50</v>
      </c>
      <c r="H75">
        <v>2</v>
      </c>
      <c r="I75" t="s">
        <v>285</v>
      </c>
      <c r="J75" t="s">
        <v>210</v>
      </c>
      <c r="K75" t="s">
        <v>334</v>
      </c>
      <c r="L75" t="s">
        <v>335</v>
      </c>
      <c r="M75" t="s">
        <v>336</v>
      </c>
      <c r="N75" t="s">
        <v>336</v>
      </c>
      <c r="O75" t="s">
        <v>72</v>
      </c>
      <c r="P75" t="s">
        <v>72</v>
      </c>
      <c r="Q75" t="s">
        <v>72</v>
      </c>
      <c r="R75" t="s">
        <v>72</v>
      </c>
      <c r="S75">
        <v>1084.22</v>
      </c>
      <c r="T75">
        <v>1011.2275</v>
      </c>
      <c r="U75">
        <v>643.11</v>
      </c>
      <c r="V75">
        <v>545.91</v>
      </c>
    </row>
    <row r="76" spans="1:22">
      <c r="A76" t="s">
        <v>133</v>
      </c>
      <c r="B76" t="s">
        <v>337</v>
      </c>
      <c r="C76" t="s">
        <v>311</v>
      </c>
      <c r="D76" t="s">
        <v>102</v>
      </c>
      <c r="E76" t="s">
        <v>136</v>
      </c>
      <c r="F76" t="s">
        <v>275</v>
      </c>
      <c r="G76">
        <v>50</v>
      </c>
      <c r="H76">
        <v>3</v>
      </c>
      <c r="I76" t="s">
        <v>312</v>
      </c>
      <c r="J76" t="s">
        <v>230</v>
      </c>
      <c r="K76" t="s">
        <v>277</v>
      </c>
      <c r="L76" t="s">
        <v>297</v>
      </c>
      <c r="M76" t="s">
        <v>338</v>
      </c>
      <c r="N76" t="s">
        <v>338</v>
      </c>
      <c r="O76" t="s">
        <v>72</v>
      </c>
      <c r="P76" t="s">
        <v>72</v>
      </c>
      <c r="Q76" t="s">
        <v>72</v>
      </c>
      <c r="R76" t="s">
        <v>72</v>
      </c>
      <c r="S76">
        <v>527.82</v>
      </c>
      <c r="T76">
        <v>511.95</v>
      </c>
      <c r="U76">
        <v>555.495</v>
      </c>
      <c r="V76">
        <v>661.38</v>
      </c>
    </row>
    <row r="77" spans="1:22">
      <c r="A77" t="s">
        <v>133</v>
      </c>
      <c r="B77" t="s">
        <v>339</v>
      </c>
      <c r="C77" t="s">
        <v>294</v>
      </c>
      <c r="D77" t="s">
        <v>93</v>
      </c>
      <c r="E77" t="s">
        <v>136</v>
      </c>
      <c r="F77" t="s">
        <v>295</v>
      </c>
      <c r="G77">
        <v>64</v>
      </c>
      <c r="H77">
        <v>3</v>
      </c>
      <c r="I77" t="s">
        <v>296</v>
      </c>
      <c r="J77" t="s">
        <v>64</v>
      </c>
      <c r="K77" t="s">
        <v>277</v>
      </c>
      <c r="L77" t="s">
        <v>297</v>
      </c>
      <c r="M77" t="s">
        <v>340</v>
      </c>
      <c r="N77" t="s">
        <v>340</v>
      </c>
      <c r="O77" t="s">
        <v>72</v>
      </c>
      <c r="P77" t="s">
        <v>72</v>
      </c>
      <c r="Q77" t="s">
        <v>72</v>
      </c>
      <c r="R77" t="s">
        <v>72</v>
      </c>
      <c r="S77" t="s">
        <v>72</v>
      </c>
      <c r="T77">
        <v>556.193333333333</v>
      </c>
      <c r="U77">
        <v>738.113333333333</v>
      </c>
      <c r="V77">
        <v>748</v>
      </c>
    </row>
    <row r="78" spans="1:22">
      <c r="A78" t="s">
        <v>90</v>
      </c>
      <c r="B78" t="s">
        <v>341</v>
      </c>
      <c r="C78" t="s">
        <v>333</v>
      </c>
      <c r="D78" t="s">
        <v>102</v>
      </c>
      <c r="E78" t="s">
        <v>94</v>
      </c>
      <c r="F78" t="s">
        <v>289</v>
      </c>
      <c r="G78">
        <v>50</v>
      </c>
      <c r="H78">
        <v>2</v>
      </c>
      <c r="I78" t="s">
        <v>285</v>
      </c>
      <c r="J78" t="s">
        <v>64</v>
      </c>
      <c r="K78" t="s">
        <v>334</v>
      </c>
      <c r="L78" t="s">
        <v>335</v>
      </c>
      <c r="M78" t="s">
        <v>342</v>
      </c>
      <c r="N78" t="s">
        <v>342</v>
      </c>
      <c r="O78" t="s">
        <v>72</v>
      </c>
      <c r="P78" t="s">
        <v>72</v>
      </c>
      <c r="Q78" t="s">
        <v>72</v>
      </c>
      <c r="R78" t="s">
        <v>72</v>
      </c>
      <c r="S78">
        <v>1023.38</v>
      </c>
      <c r="T78">
        <v>1045.7275</v>
      </c>
      <c r="U78">
        <v>594.27</v>
      </c>
      <c r="V78">
        <v>608.18</v>
      </c>
    </row>
    <row r="79" spans="1:22">
      <c r="A79" t="s">
        <v>90</v>
      </c>
      <c r="B79" t="s">
        <v>343</v>
      </c>
      <c r="C79" t="s">
        <v>344</v>
      </c>
      <c r="D79" t="s">
        <v>93</v>
      </c>
      <c r="E79" t="s">
        <v>94</v>
      </c>
      <c r="F79" t="s">
        <v>62</v>
      </c>
      <c r="G79">
        <v>12</v>
      </c>
      <c r="H79">
        <v>2</v>
      </c>
      <c r="I79" t="s">
        <v>285</v>
      </c>
      <c r="J79" t="s">
        <v>64</v>
      </c>
      <c r="K79" t="s">
        <v>345</v>
      </c>
      <c r="L79" t="s">
        <v>171</v>
      </c>
      <c r="M79" t="s">
        <v>346</v>
      </c>
      <c r="N79" t="s">
        <v>346</v>
      </c>
      <c r="O79" t="s">
        <v>72</v>
      </c>
      <c r="P79" t="s">
        <v>72</v>
      </c>
      <c r="Q79" t="s">
        <v>72</v>
      </c>
      <c r="R79" t="s">
        <v>72</v>
      </c>
      <c r="S79">
        <v>668.12</v>
      </c>
      <c r="T79">
        <v>514.3725</v>
      </c>
      <c r="U79">
        <v>322.3</v>
      </c>
      <c r="V79">
        <v>317.255</v>
      </c>
    </row>
    <row r="80" spans="1:22">
      <c r="A80" t="s">
        <v>90</v>
      </c>
      <c r="B80" t="s">
        <v>347</v>
      </c>
      <c r="C80" t="s">
        <v>344</v>
      </c>
      <c r="D80" t="s">
        <v>93</v>
      </c>
      <c r="E80" t="s">
        <v>94</v>
      </c>
      <c r="F80" t="s">
        <v>62</v>
      </c>
      <c r="G80">
        <v>12</v>
      </c>
      <c r="H80">
        <v>2</v>
      </c>
      <c r="I80" t="s">
        <v>285</v>
      </c>
      <c r="J80" t="s">
        <v>210</v>
      </c>
      <c r="K80" t="s">
        <v>345</v>
      </c>
      <c r="L80" t="s">
        <v>171</v>
      </c>
      <c r="M80" t="s">
        <v>348</v>
      </c>
      <c r="N80" t="s">
        <v>348</v>
      </c>
      <c r="O80" t="s">
        <v>72</v>
      </c>
      <c r="P80" t="s">
        <v>72</v>
      </c>
      <c r="Q80" t="s">
        <v>72</v>
      </c>
      <c r="R80" t="s">
        <v>72</v>
      </c>
      <c r="S80">
        <v>843.62</v>
      </c>
      <c r="T80">
        <v>683.0125</v>
      </c>
      <c r="U80">
        <v>402.615</v>
      </c>
      <c r="V80">
        <v>345.535</v>
      </c>
    </row>
    <row r="81" spans="1:22">
      <c r="A81" t="s">
        <v>57</v>
      </c>
      <c r="B81" t="s">
        <v>349</v>
      </c>
      <c r="C81" t="s">
        <v>315</v>
      </c>
      <c r="D81" t="s">
        <v>168</v>
      </c>
      <c r="E81" t="s">
        <v>107</v>
      </c>
      <c r="F81" t="s">
        <v>62</v>
      </c>
      <c r="G81">
        <v>12</v>
      </c>
      <c r="H81">
        <v>2</v>
      </c>
      <c r="I81" t="s">
        <v>241</v>
      </c>
      <c r="J81" t="s">
        <v>210</v>
      </c>
      <c r="K81" t="s">
        <v>350</v>
      </c>
      <c r="L81" t="s">
        <v>77</v>
      </c>
      <c r="M81" t="s">
        <v>351</v>
      </c>
      <c r="N81" t="s">
        <v>351</v>
      </c>
      <c r="O81" t="s">
        <v>72</v>
      </c>
      <c r="P81" t="s">
        <v>72</v>
      </c>
      <c r="Q81" t="s">
        <v>72</v>
      </c>
      <c r="R81" t="s">
        <v>72</v>
      </c>
      <c r="S81">
        <v>783.11</v>
      </c>
      <c r="T81">
        <v>644.7175</v>
      </c>
      <c r="U81">
        <v>471.22</v>
      </c>
      <c r="V81">
        <v>354.21</v>
      </c>
    </row>
    <row r="82" spans="1:22">
      <c r="A82" t="s">
        <v>57</v>
      </c>
      <c r="B82" t="s">
        <v>352</v>
      </c>
      <c r="C82" t="s">
        <v>315</v>
      </c>
      <c r="D82" t="s">
        <v>168</v>
      </c>
      <c r="E82" t="s">
        <v>107</v>
      </c>
      <c r="F82" t="s">
        <v>62</v>
      </c>
      <c r="G82">
        <v>12</v>
      </c>
      <c r="H82">
        <v>2</v>
      </c>
      <c r="I82" t="s">
        <v>241</v>
      </c>
      <c r="J82" t="s">
        <v>64</v>
      </c>
      <c r="K82" t="s">
        <v>350</v>
      </c>
      <c r="L82" t="s">
        <v>77</v>
      </c>
      <c r="M82" t="s">
        <v>353</v>
      </c>
      <c r="N82" t="s">
        <v>353</v>
      </c>
      <c r="O82" t="s">
        <v>72</v>
      </c>
      <c r="P82" t="s">
        <v>72</v>
      </c>
      <c r="Q82" t="s">
        <v>72</v>
      </c>
      <c r="R82" t="s">
        <v>72</v>
      </c>
      <c r="S82">
        <v>890.22</v>
      </c>
      <c r="T82">
        <v>717.3075</v>
      </c>
      <c r="U82">
        <v>542.5975</v>
      </c>
      <c r="V82">
        <v>411.995</v>
      </c>
    </row>
    <row r="83" spans="1:22">
      <c r="A83" t="s">
        <v>57</v>
      </c>
      <c r="B83" t="s">
        <v>354</v>
      </c>
      <c r="C83" t="s">
        <v>315</v>
      </c>
      <c r="D83" t="s">
        <v>168</v>
      </c>
      <c r="E83" t="s">
        <v>107</v>
      </c>
      <c r="F83" t="s">
        <v>62</v>
      </c>
      <c r="G83">
        <v>12</v>
      </c>
      <c r="H83">
        <v>2</v>
      </c>
      <c r="I83" t="s">
        <v>241</v>
      </c>
      <c r="J83" t="s">
        <v>64</v>
      </c>
      <c r="K83" t="s">
        <v>350</v>
      </c>
      <c r="L83" t="s">
        <v>77</v>
      </c>
      <c r="M83" t="s">
        <v>355</v>
      </c>
      <c r="N83" t="s">
        <v>355</v>
      </c>
      <c r="O83" t="s">
        <v>72</v>
      </c>
      <c r="P83" t="s">
        <v>72</v>
      </c>
      <c r="Q83" t="s">
        <v>72</v>
      </c>
      <c r="R83" t="s">
        <v>72</v>
      </c>
      <c r="S83">
        <v>1049</v>
      </c>
      <c r="T83">
        <v>798.9775</v>
      </c>
      <c r="U83">
        <v>636.5075</v>
      </c>
      <c r="V83">
        <v>493.955</v>
      </c>
    </row>
    <row r="84" spans="1:22">
      <c r="A84" t="s">
        <v>57</v>
      </c>
      <c r="B84" t="s">
        <v>356</v>
      </c>
      <c r="C84" t="s">
        <v>357</v>
      </c>
      <c r="D84" t="s">
        <v>93</v>
      </c>
      <c r="E84" t="s">
        <v>115</v>
      </c>
      <c r="F84" t="s">
        <v>358</v>
      </c>
      <c r="G84">
        <v>48</v>
      </c>
      <c r="H84">
        <v>2</v>
      </c>
      <c r="I84" t="s">
        <v>359</v>
      </c>
      <c r="J84" t="s">
        <v>64</v>
      </c>
      <c r="K84" t="s">
        <v>277</v>
      </c>
      <c r="L84" t="s">
        <v>171</v>
      </c>
      <c r="M84" t="s">
        <v>360</v>
      </c>
      <c r="N84" t="s">
        <v>360</v>
      </c>
      <c r="O84" t="s">
        <v>72</v>
      </c>
      <c r="P84" t="s">
        <v>72</v>
      </c>
      <c r="Q84" t="s">
        <v>72</v>
      </c>
      <c r="R84" t="s">
        <v>72</v>
      </c>
      <c r="S84">
        <v>1471.86</v>
      </c>
      <c r="T84">
        <v>1098.5375</v>
      </c>
      <c r="U84">
        <v>768.0975</v>
      </c>
      <c r="V84">
        <v>631.655</v>
      </c>
    </row>
    <row r="85" spans="1:22">
      <c r="A85" t="s">
        <v>57</v>
      </c>
      <c r="B85" t="s">
        <v>361</v>
      </c>
      <c r="C85" t="s">
        <v>362</v>
      </c>
      <c r="D85" t="s">
        <v>168</v>
      </c>
      <c r="E85" t="s">
        <v>107</v>
      </c>
      <c r="F85" t="s">
        <v>62</v>
      </c>
      <c r="G85">
        <v>12</v>
      </c>
      <c r="H85">
        <v>2</v>
      </c>
      <c r="I85" t="s">
        <v>241</v>
      </c>
      <c r="J85" t="s">
        <v>64</v>
      </c>
      <c r="K85" t="s">
        <v>363</v>
      </c>
      <c r="L85" t="s">
        <v>171</v>
      </c>
      <c r="M85" t="s">
        <v>364</v>
      </c>
      <c r="N85" t="s">
        <v>364</v>
      </c>
      <c r="O85" t="s">
        <v>72</v>
      </c>
      <c r="P85" t="s">
        <v>72</v>
      </c>
      <c r="Q85" t="s">
        <v>72</v>
      </c>
      <c r="R85" t="s">
        <v>72</v>
      </c>
      <c r="S85">
        <v>871.59</v>
      </c>
      <c r="T85">
        <v>691.9475</v>
      </c>
      <c r="U85">
        <v>519.6075</v>
      </c>
      <c r="V85">
        <v>403.285</v>
      </c>
    </row>
    <row r="86" spans="1:22">
      <c r="A86" t="s">
        <v>57</v>
      </c>
      <c r="B86" t="s">
        <v>365</v>
      </c>
      <c r="C86" t="s">
        <v>357</v>
      </c>
      <c r="D86" t="s">
        <v>168</v>
      </c>
      <c r="E86" t="s">
        <v>115</v>
      </c>
      <c r="F86" t="s">
        <v>358</v>
      </c>
      <c r="G86">
        <v>48</v>
      </c>
      <c r="H86">
        <v>2</v>
      </c>
      <c r="I86" t="s">
        <v>359</v>
      </c>
      <c r="J86" t="s">
        <v>64</v>
      </c>
      <c r="K86" t="s">
        <v>277</v>
      </c>
      <c r="L86" t="s">
        <v>171</v>
      </c>
      <c r="M86" t="s">
        <v>366</v>
      </c>
      <c r="N86" t="s">
        <v>366</v>
      </c>
      <c r="O86" t="s">
        <v>72</v>
      </c>
      <c r="P86" t="s">
        <v>72</v>
      </c>
      <c r="Q86" t="s">
        <v>72</v>
      </c>
      <c r="R86" t="s">
        <v>72</v>
      </c>
      <c r="S86">
        <v>1275.74</v>
      </c>
      <c r="T86">
        <v>993.445</v>
      </c>
      <c r="U86">
        <v>734.5675</v>
      </c>
      <c r="V86">
        <v>568.335</v>
      </c>
    </row>
    <row r="87" spans="1:22">
      <c r="A87" t="s">
        <v>57</v>
      </c>
      <c r="B87" t="s">
        <v>367</v>
      </c>
      <c r="C87" t="s">
        <v>362</v>
      </c>
      <c r="D87" t="s">
        <v>168</v>
      </c>
      <c r="E87" t="s">
        <v>107</v>
      </c>
      <c r="F87" t="s">
        <v>62</v>
      </c>
      <c r="G87">
        <v>12</v>
      </c>
      <c r="H87">
        <v>2</v>
      </c>
      <c r="I87" t="s">
        <v>241</v>
      </c>
      <c r="J87" t="s">
        <v>64</v>
      </c>
      <c r="K87" t="s">
        <v>363</v>
      </c>
      <c r="L87" t="s">
        <v>171</v>
      </c>
      <c r="M87" t="s">
        <v>368</v>
      </c>
      <c r="N87" t="s">
        <v>368</v>
      </c>
      <c r="O87" t="s">
        <v>72</v>
      </c>
      <c r="P87" t="s">
        <v>72</v>
      </c>
      <c r="Q87" t="s">
        <v>72</v>
      </c>
      <c r="R87" t="s">
        <v>72</v>
      </c>
      <c r="S87" t="s">
        <v>72</v>
      </c>
      <c r="T87">
        <v>776.9025</v>
      </c>
      <c r="U87">
        <v>579.4025</v>
      </c>
      <c r="V87">
        <v>456.475</v>
      </c>
    </row>
    <row r="88" spans="1:22">
      <c r="A88" t="s">
        <v>57</v>
      </c>
      <c r="B88" t="s">
        <v>369</v>
      </c>
      <c r="C88" t="s">
        <v>357</v>
      </c>
      <c r="D88" t="s">
        <v>93</v>
      </c>
      <c r="E88" t="s">
        <v>115</v>
      </c>
      <c r="F88" t="s">
        <v>358</v>
      </c>
      <c r="G88">
        <v>48</v>
      </c>
      <c r="H88">
        <v>2</v>
      </c>
      <c r="I88" t="s">
        <v>359</v>
      </c>
      <c r="J88" t="s">
        <v>64</v>
      </c>
      <c r="K88" t="s">
        <v>277</v>
      </c>
      <c r="L88" t="s">
        <v>171</v>
      </c>
      <c r="M88" t="s">
        <v>370</v>
      </c>
      <c r="N88" t="s">
        <v>370</v>
      </c>
      <c r="O88" t="s">
        <v>72</v>
      </c>
      <c r="P88" t="s">
        <v>72</v>
      </c>
      <c r="Q88" t="s">
        <v>72</v>
      </c>
      <c r="R88" t="s">
        <v>72</v>
      </c>
      <c r="S88">
        <v>1667.49</v>
      </c>
      <c r="T88">
        <v>1225.1675</v>
      </c>
      <c r="U88">
        <v>823.99</v>
      </c>
      <c r="V88">
        <v>671.085</v>
      </c>
    </row>
    <row r="89" spans="1:22">
      <c r="A89" t="s">
        <v>57</v>
      </c>
      <c r="B89" t="s">
        <v>371</v>
      </c>
      <c r="C89" t="s">
        <v>146</v>
      </c>
      <c r="D89" t="s">
        <v>168</v>
      </c>
      <c r="E89" t="s">
        <v>115</v>
      </c>
      <c r="F89" t="s">
        <v>358</v>
      </c>
      <c r="G89">
        <v>48</v>
      </c>
      <c r="H89">
        <v>2</v>
      </c>
      <c r="I89" t="s">
        <v>359</v>
      </c>
      <c r="J89" t="s">
        <v>64</v>
      </c>
      <c r="K89" t="s">
        <v>372</v>
      </c>
      <c r="L89" t="s">
        <v>77</v>
      </c>
      <c r="M89" t="s">
        <v>373</v>
      </c>
      <c r="N89" t="s">
        <v>373</v>
      </c>
      <c r="O89" t="s">
        <v>72</v>
      </c>
      <c r="P89" t="s">
        <v>72</v>
      </c>
      <c r="Q89" t="s">
        <v>72</v>
      </c>
      <c r="R89" t="s">
        <v>72</v>
      </c>
      <c r="S89">
        <v>1093.2</v>
      </c>
      <c r="T89">
        <v>876.41</v>
      </c>
      <c r="U89">
        <v>622.9</v>
      </c>
      <c r="V89">
        <v>474.94</v>
      </c>
    </row>
    <row r="90" spans="1:22">
      <c r="A90" t="s">
        <v>57</v>
      </c>
      <c r="B90" t="s">
        <v>374</v>
      </c>
      <c r="C90" t="s">
        <v>146</v>
      </c>
      <c r="D90" t="s">
        <v>93</v>
      </c>
      <c r="E90" t="s">
        <v>115</v>
      </c>
      <c r="F90" t="s">
        <v>358</v>
      </c>
      <c r="G90">
        <v>48</v>
      </c>
      <c r="H90">
        <v>2</v>
      </c>
      <c r="I90" t="s">
        <v>359</v>
      </c>
      <c r="J90" t="s">
        <v>64</v>
      </c>
      <c r="K90" t="s">
        <v>372</v>
      </c>
      <c r="L90" t="s">
        <v>77</v>
      </c>
      <c r="M90" t="s">
        <v>375</v>
      </c>
      <c r="N90" t="s">
        <v>375</v>
      </c>
      <c r="O90" t="s">
        <v>72</v>
      </c>
      <c r="P90" t="s">
        <v>72</v>
      </c>
      <c r="Q90" t="s">
        <v>72</v>
      </c>
      <c r="R90" t="s">
        <v>72</v>
      </c>
      <c r="S90">
        <v>1271.55</v>
      </c>
      <c r="T90">
        <v>962.295</v>
      </c>
      <c r="U90">
        <v>669.205</v>
      </c>
      <c r="V90">
        <v>508</v>
      </c>
    </row>
    <row r="91" spans="1:22">
      <c r="A91" t="s">
        <v>57</v>
      </c>
      <c r="B91" t="s">
        <v>376</v>
      </c>
      <c r="C91" t="s">
        <v>146</v>
      </c>
      <c r="D91" t="s">
        <v>93</v>
      </c>
      <c r="E91" t="s">
        <v>115</v>
      </c>
      <c r="F91" t="s">
        <v>358</v>
      </c>
      <c r="G91">
        <v>48</v>
      </c>
      <c r="H91">
        <v>2</v>
      </c>
      <c r="I91" t="s">
        <v>359</v>
      </c>
      <c r="J91" t="s">
        <v>64</v>
      </c>
      <c r="K91" t="s">
        <v>372</v>
      </c>
      <c r="L91" t="s">
        <v>77</v>
      </c>
      <c r="M91" t="s">
        <v>377</v>
      </c>
      <c r="N91" t="s">
        <v>377</v>
      </c>
      <c r="O91" t="s">
        <v>72</v>
      </c>
      <c r="P91" t="s">
        <v>72</v>
      </c>
      <c r="Q91" t="s">
        <v>72</v>
      </c>
      <c r="R91" t="s">
        <v>72</v>
      </c>
      <c r="S91">
        <v>1360.64</v>
      </c>
      <c r="T91">
        <v>1075.6625</v>
      </c>
      <c r="U91">
        <v>748.9375</v>
      </c>
      <c r="V91">
        <v>554.38</v>
      </c>
    </row>
    <row r="92" spans="1:22">
      <c r="A92" t="s">
        <v>57</v>
      </c>
      <c r="B92" t="s">
        <v>378</v>
      </c>
      <c r="C92" t="s">
        <v>362</v>
      </c>
      <c r="D92" t="s">
        <v>168</v>
      </c>
      <c r="E92" t="s">
        <v>107</v>
      </c>
      <c r="F92" t="s">
        <v>62</v>
      </c>
      <c r="G92">
        <v>12</v>
      </c>
      <c r="H92">
        <v>2</v>
      </c>
      <c r="I92" t="s">
        <v>241</v>
      </c>
      <c r="J92" t="s">
        <v>64</v>
      </c>
      <c r="K92" t="s">
        <v>363</v>
      </c>
      <c r="L92" t="s">
        <v>171</v>
      </c>
      <c r="M92" t="s">
        <v>379</v>
      </c>
      <c r="N92" t="s">
        <v>379</v>
      </c>
      <c r="O92" t="s">
        <v>72</v>
      </c>
      <c r="P92" t="s">
        <v>72</v>
      </c>
      <c r="Q92" t="s">
        <v>72</v>
      </c>
      <c r="R92" t="s">
        <v>72</v>
      </c>
      <c r="S92" t="s">
        <v>72</v>
      </c>
      <c r="T92">
        <v>914.48</v>
      </c>
      <c r="U92">
        <v>653.7875</v>
      </c>
      <c r="V92">
        <v>559.455</v>
      </c>
    </row>
    <row r="93" spans="1:22">
      <c r="A93" t="s">
        <v>144</v>
      </c>
      <c r="B93" t="s">
        <v>380</v>
      </c>
      <c r="C93" t="s">
        <v>381</v>
      </c>
      <c r="D93" t="s">
        <v>102</v>
      </c>
      <c r="E93" t="s">
        <v>147</v>
      </c>
      <c r="F93" t="s">
        <v>330</v>
      </c>
      <c r="G93">
        <v>50</v>
      </c>
      <c r="H93">
        <v>2</v>
      </c>
      <c r="I93" t="s">
        <v>285</v>
      </c>
      <c r="J93" t="s">
        <v>64</v>
      </c>
      <c r="K93" t="s">
        <v>231</v>
      </c>
      <c r="L93" t="s">
        <v>171</v>
      </c>
      <c r="M93" t="s">
        <v>382</v>
      </c>
      <c r="N93" t="s">
        <v>382</v>
      </c>
      <c r="O93" t="s">
        <v>72</v>
      </c>
      <c r="P93" t="s">
        <v>72</v>
      </c>
      <c r="Q93" t="s">
        <v>72</v>
      </c>
      <c r="R93" t="s">
        <v>72</v>
      </c>
      <c r="S93" t="s">
        <v>72</v>
      </c>
      <c r="T93">
        <v>793.4725</v>
      </c>
      <c r="U93">
        <v>859.635</v>
      </c>
      <c r="V93">
        <v>847.515</v>
      </c>
    </row>
    <row r="94" spans="1:22">
      <c r="A94" t="s">
        <v>90</v>
      </c>
      <c r="B94" t="s">
        <v>383</v>
      </c>
      <c r="C94" t="s">
        <v>384</v>
      </c>
      <c r="D94" t="s">
        <v>168</v>
      </c>
      <c r="E94" t="s">
        <v>385</v>
      </c>
      <c r="F94" t="s">
        <v>386</v>
      </c>
      <c r="G94">
        <v>50</v>
      </c>
      <c r="H94">
        <v>1</v>
      </c>
      <c r="I94" t="s">
        <v>387</v>
      </c>
      <c r="J94" t="s">
        <v>64</v>
      </c>
      <c r="K94" t="s">
        <v>388</v>
      </c>
      <c r="L94" t="s">
        <v>303</v>
      </c>
      <c r="M94" t="s">
        <v>389</v>
      </c>
      <c r="N94" t="s">
        <v>389</v>
      </c>
      <c r="O94" t="s">
        <v>72</v>
      </c>
      <c r="P94" t="s">
        <v>72</v>
      </c>
      <c r="Q94" t="s">
        <v>72</v>
      </c>
      <c r="R94" t="s">
        <v>72</v>
      </c>
      <c r="S94" t="s">
        <v>72</v>
      </c>
      <c r="T94">
        <v>495.1875</v>
      </c>
      <c r="U94">
        <v>349.3325</v>
      </c>
      <c r="V94">
        <v>271.135</v>
      </c>
    </row>
    <row r="95" spans="1:22">
      <c r="A95" t="s">
        <v>90</v>
      </c>
      <c r="B95" t="s">
        <v>390</v>
      </c>
      <c r="C95" t="s">
        <v>114</v>
      </c>
      <c r="D95" t="s">
        <v>60</v>
      </c>
      <c r="E95" t="s">
        <v>316</v>
      </c>
      <c r="F95" t="s">
        <v>391</v>
      </c>
      <c r="G95">
        <v>50</v>
      </c>
      <c r="H95">
        <v>2</v>
      </c>
      <c r="I95" t="s">
        <v>317</v>
      </c>
      <c r="J95" t="s">
        <v>210</v>
      </c>
      <c r="K95" t="s">
        <v>231</v>
      </c>
      <c r="L95" t="s">
        <v>66</v>
      </c>
      <c r="M95" t="s">
        <v>392</v>
      </c>
      <c r="N95" t="s">
        <v>392</v>
      </c>
      <c r="O95" t="s">
        <v>72</v>
      </c>
      <c r="P95" t="s">
        <v>72</v>
      </c>
      <c r="Q95" t="s">
        <v>72</v>
      </c>
      <c r="R95" t="s">
        <v>72</v>
      </c>
      <c r="S95" t="s">
        <v>72</v>
      </c>
      <c r="T95">
        <v>119.0275</v>
      </c>
      <c r="U95">
        <v>104.1775</v>
      </c>
      <c r="V95" t="s">
        <v>72</v>
      </c>
    </row>
    <row r="96" spans="1:22">
      <c r="A96" t="s">
        <v>90</v>
      </c>
      <c r="B96" t="s">
        <v>393</v>
      </c>
      <c r="C96" t="s">
        <v>154</v>
      </c>
      <c r="D96" t="s">
        <v>168</v>
      </c>
      <c r="E96" t="s">
        <v>385</v>
      </c>
      <c r="F96" t="s">
        <v>148</v>
      </c>
      <c r="G96">
        <v>48</v>
      </c>
      <c r="H96">
        <v>2</v>
      </c>
      <c r="I96" t="s">
        <v>394</v>
      </c>
      <c r="J96" t="s">
        <v>230</v>
      </c>
      <c r="K96" t="s">
        <v>231</v>
      </c>
      <c r="L96" t="s">
        <v>303</v>
      </c>
      <c r="M96" t="s">
        <v>395</v>
      </c>
      <c r="N96" t="s">
        <v>395</v>
      </c>
      <c r="O96" t="s">
        <v>72</v>
      </c>
      <c r="P96" t="s">
        <v>72</v>
      </c>
      <c r="Q96" t="s">
        <v>72</v>
      </c>
      <c r="R96" t="s">
        <v>72</v>
      </c>
      <c r="S96" t="s">
        <v>72</v>
      </c>
      <c r="T96">
        <v>292.216666666667</v>
      </c>
      <c r="U96">
        <v>459.0925</v>
      </c>
      <c r="V96">
        <v>349.095</v>
      </c>
    </row>
    <row r="97" spans="1:22">
      <c r="A97" t="s">
        <v>144</v>
      </c>
      <c r="B97" t="s">
        <v>396</v>
      </c>
      <c r="C97" t="s">
        <v>302</v>
      </c>
      <c r="D97" t="s">
        <v>93</v>
      </c>
      <c r="E97" t="s">
        <v>147</v>
      </c>
      <c r="F97" t="s">
        <v>397</v>
      </c>
      <c r="G97">
        <v>108</v>
      </c>
      <c r="H97">
        <v>1</v>
      </c>
      <c r="I97" t="s">
        <v>398</v>
      </c>
      <c r="J97" t="s">
        <v>210</v>
      </c>
      <c r="K97" t="s">
        <v>231</v>
      </c>
      <c r="L97" t="s">
        <v>399</v>
      </c>
      <c r="M97" t="s">
        <v>400</v>
      </c>
      <c r="N97" t="s">
        <v>400</v>
      </c>
      <c r="O97" t="s">
        <v>72</v>
      </c>
      <c r="P97" t="s">
        <v>72</v>
      </c>
      <c r="Q97" t="s">
        <v>72</v>
      </c>
      <c r="R97" t="s">
        <v>72</v>
      </c>
      <c r="S97" t="s">
        <v>72</v>
      </c>
      <c r="T97">
        <v>415.61</v>
      </c>
      <c r="U97">
        <v>267.4025</v>
      </c>
      <c r="V97">
        <v>282.495</v>
      </c>
    </row>
    <row r="98" spans="1:22">
      <c r="A98" t="s">
        <v>90</v>
      </c>
      <c r="B98" t="s">
        <v>401</v>
      </c>
      <c r="C98" t="s">
        <v>302</v>
      </c>
      <c r="D98" t="s">
        <v>168</v>
      </c>
      <c r="E98" t="s">
        <v>385</v>
      </c>
      <c r="F98" t="s">
        <v>402</v>
      </c>
      <c r="G98">
        <v>50</v>
      </c>
      <c r="H98">
        <v>2</v>
      </c>
      <c r="I98" t="s">
        <v>403</v>
      </c>
      <c r="J98" t="s">
        <v>210</v>
      </c>
      <c r="K98" t="s">
        <v>231</v>
      </c>
      <c r="L98" t="s">
        <v>66</v>
      </c>
      <c r="M98" t="s">
        <v>404</v>
      </c>
      <c r="N98" t="s">
        <v>404</v>
      </c>
      <c r="O98" t="s">
        <v>72</v>
      </c>
      <c r="P98" t="s">
        <v>72</v>
      </c>
      <c r="Q98" t="s">
        <v>72</v>
      </c>
      <c r="R98" t="s">
        <v>72</v>
      </c>
      <c r="S98" t="s">
        <v>72</v>
      </c>
      <c r="T98">
        <v>188.76</v>
      </c>
      <c r="U98">
        <v>185.7</v>
      </c>
      <c r="V98" t="s">
        <v>72</v>
      </c>
    </row>
    <row r="99" spans="1:22">
      <c r="A99" t="s">
        <v>90</v>
      </c>
      <c r="B99" t="s">
        <v>405</v>
      </c>
      <c r="C99" t="s">
        <v>178</v>
      </c>
      <c r="D99" t="s">
        <v>168</v>
      </c>
      <c r="E99" t="s">
        <v>136</v>
      </c>
      <c r="F99" t="s">
        <v>289</v>
      </c>
      <c r="G99">
        <v>50</v>
      </c>
      <c r="H99">
        <v>2</v>
      </c>
      <c r="I99" t="s">
        <v>387</v>
      </c>
      <c r="J99" t="s">
        <v>210</v>
      </c>
      <c r="K99" t="s">
        <v>231</v>
      </c>
      <c r="L99" t="s">
        <v>297</v>
      </c>
      <c r="M99" t="s">
        <v>406</v>
      </c>
      <c r="N99" t="s">
        <v>406</v>
      </c>
      <c r="O99" t="s">
        <v>72</v>
      </c>
      <c r="P99" t="s">
        <v>72</v>
      </c>
      <c r="Q99" t="s">
        <v>72</v>
      </c>
      <c r="R99" t="s">
        <v>72</v>
      </c>
      <c r="S99" t="s">
        <v>72</v>
      </c>
      <c r="T99">
        <v>287.64</v>
      </c>
      <c r="U99">
        <v>225.2175</v>
      </c>
      <c r="V99">
        <v>174.5</v>
      </c>
    </row>
    <row r="100" spans="1:22">
      <c r="A100" t="s">
        <v>90</v>
      </c>
      <c r="B100" t="s">
        <v>407</v>
      </c>
      <c r="C100" t="s">
        <v>101</v>
      </c>
      <c r="D100" t="s">
        <v>93</v>
      </c>
      <c r="E100" t="s">
        <v>107</v>
      </c>
      <c r="F100" t="s">
        <v>289</v>
      </c>
      <c r="G100">
        <v>50</v>
      </c>
      <c r="H100">
        <v>2</v>
      </c>
      <c r="I100" t="s">
        <v>408</v>
      </c>
      <c r="J100" t="s">
        <v>230</v>
      </c>
      <c r="K100" t="s">
        <v>409</v>
      </c>
      <c r="L100" t="s">
        <v>303</v>
      </c>
      <c r="M100" t="s">
        <v>410</v>
      </c>
      <c r="N100" t="s">
        <v>410</v>
      </c>
      <c r="O100" t="s">
        <v>72</v>
      </c>
      <c r="P100" t="s">
        <v>72</v>
      </c>
      <c r="Q100" t="s">
        <v>72</v>
      </c>
      <c r="R100" t="s">
        <v>72</v>
      </c>
      <c r="S100" t="s">
        <v>72</v>
      </c>
      <c r="T100">
        <v>703.413333333333</v>
      </c>
      <c r="U100">
        <v>536.4575</v>
      </c>
      <c r="V100">
        <v>418.27</v>
      </c>
    </row>
    <row r="101" spans="1:22">
      <c r="A101" t="s">
        <v>90</v>
      </c>
      <c r="B101" t="s">
        <v>411</v>
      </c>
      <c r="C101" t="s">
        <v>167</v>
      </c>
      <c r="D101" t="s">
        <v>102</v>
      </c>
      <c r="E101" t="s">
        <v>107</v>
      </c>
      <c r="F101" t="s">
        <v>412</v>
      </c>
      <c r="G101">
        <v>200</v>
      </c>
      <c r="H101">
        <v>2</v>
      </c>
      <c r="I101" t="s">
        <v>408</v>
      </c>
      <c r="J101" t="s">
        <v>210</v>
      </c>
      <c r="K101" t="s">
        <v>231</v>
      </c>
      <c r="L101" t="s">
        <v>104</v>
      </c>
      <c r="M101" t="s">
        <v>413</v>
      </c>
      <c r="N101" t="s">
        <v>413</v>
      </c>
      <c r="O101" t="s">
        <v>72</v>
      </c>
      <c r="P101" t="s">
        <v>72</v>
      </c>
      <c r="Q101" t="s">
        <v>72</v>
      </c>
      <c r="R101" t="s">
        <v>72</v>
      </c>
      <c r="S101" t="s">
        <v>72</v>
      </c>
      <c r="T101">
        <v>887.62</v>
      </c>
      <c r="U101">
        <v>697.4925</v>
      </c>
      <c r="V101">
        <v>589.815</v>
      </c>
    </row>
    <row r="102" spans="1:22">
      <c r="A102" t="s">
        <v>90</v>
      </c>
      <c r="B102" t="s">
        <v>414</v>
      </c>
      <c r="C102" t="s">
        <v>92</v>
      </c>
      <c r="D102" t="s">
        <v>93</v>
      </c>
      <c r="E102" t="s">
        <v>107</v>
      </c>
      <c r="F102" t="s">
        <v>289</v>
      </c>
      <c r="G102">
        <v>50</v>
      </c>
      <c r="H102">
        <v>2</v>
      </c>
      <c r="I102" t="s">
        <v>408</v>
      </c>
      <c r="J102" t="s">
        <v>64</v>
      </c>
      <c r="K102" t="s">
        <v>415</v>
      </c>
      <c r="L102" t="s">
        <v>77</v>
      </c>
      <c r="M102" t="s">
        <v>416</v>
      </c>
      <c r="N102" t="s">
        <v>416</v>
      </c>
      <c r="O102" t="s">
        <v>72</v>
      </c>
      <c r="P102" t="s">
        <v>72</v>
      </c>
      <c r="Q102" t="s">
        <v>72</v>
      </c>
      <c r="R102" t="s">
        <v>72</v>
      </c>
      <c r="S102" t="s">
        <v>72</v>
      </c>
      <c r="T102">
        <v>556.893333333333</v>
      </c>
      <c r="U102">
        <v>401.995</v>
      </c>
      <c r="V102">
        <v>338.72</v>
      </c>
    </row>
    <row r="103" spans="1:22">
      <c r="A103" t="s">
        <v>90</v>
      </c>
      <c r="B103" t="s">
        <v>417</v>
      </c>
      <c r="C103" t="s">
        <v>178</v>
      </c>
      <c r="D103" t="s">
        <v>168</v>
      </c>
      <c r="E103" t="s">
        <v>136</v>
      </c>
      <c r="F103" t="s">
        <v>289</v>
      </c>
      <c r="G103">
        <v>50</v>
      </c>
      <c r="H103">
        <v>2</v>
      </c>
      <c r="I103" t="s">
        <v>387</v>
      </c>
      <c r="J103" t="s">
        <v>64</v>
      </c>
      <c r="K103" t="s">
        <v>231</v>
      </c>
      <c r="L103" t="s">
        <v>297</v>
      </c>
      <c r="M103" t="s">
        <v>418</v>
      </c>
      <c r="N103" t="s">
        <v>418</v>
      </c>
      <c r="O103" t="s">
        <v>72</v>
      </c>
      <c r="P103" t="s">
        <v>72</v>
      </c>
      <c r="Q103" t="s">
        <v>72</v>
      </c>
      <c r="R103" t="s">
        <v>72</v>
      </c>
      <c r="S103" t="s">
        <v>72</v>
      </c>
      <c r="T103">
        <v>376.003333333333</v>
      </c>
      <c r="U103">
        <v>367.36</v>
      </c>
      <c r="V103">
        <v>440.97</v>
      </c>
    </row>
    <row r="104" spans="1:22">
      <c r="A104" t="s">
        <v>90</v>
      </c>
      <c r="B104" t="s">
        <v>419</v>
      </c>
      <c r="C104" t="s">
        <v>92</v>
      </c>
      <c r="D104" t="s">
        <v>93</v>
      </c>
      <c r="E104" t="s">
        <v>107</v>
      </c>
      <c r="F104" t="s">
        <v>289</v>
      </c>
      <c r="G104">
        <v>50</v>
      </c>
      <c r="H104">
        <v>2</v>
      </c>
      <c r="I104" t="s">
        <v>408</v>
      </c>
      <c r="J104" t="s">
        <v>64</v>
      </c>
      <c r="K104" t="s">
        <v>415</v>
      </c>
      <c r="L104" t="s">
        <v>77</v>
      </c>
      <c r="M104" t="s">
        <v>420</v>
      </c>
      <c r="N104" t="s">
        <v>420</v>
      </c>
      <c r="O104" t="s">
        <v>72</v>
      </c>
      <c r="P104" t="s">
        <v>72</v>
      </c>
      <c r="Q104" t="s">
        <v>72</v>
      </c>
      <c r="R104" t="s">
        <v>72</v>
      </c>
      <c r="S104" t="s">
        <v>72</v>
      </c>
      <c r="T104">
        <v>667.653333333333</v>
      </c>
      <c r="U104">
        <v>497.06</v>
      </c>
      <c r="V104">
        <v>423.355</v>
      </c>
    </row>
    <row r="105" spans="1:22">
      <c r="A105" t="s">
        <v>144</v>
      </c>
      <c r="B105" t="s">
        <v>421</v>
      </c>
      <c r="C105" t="s">
        <v>362</v>
      </c>
      <c r="D105" t="s">
        <v>102</v>
      </c>
      <c r="E105" t="s">
        <v>147</v>
      </c>
      <c r="F105" t="s">
        <v>137</v>
      </c>
      <c r="G105">
        <v>50</v>
      </c>
      <c r="H105">
        <v>2</v>
      </c>
      <c r="I105" t="s">
        <v>422</v>
      </c>
      <c r="J105" t="s">
        <v>210</v>
      </c>
      <c r="K105" t="s">
        <v>163</v>
      </c>
      <c r="L105" t="s">
        <v>171</v>
      </c>
      <c r="M105" t="s">
        <v>423</v>
      </c>
      <c r="N105" t="s">
        <v>423</v>
      </c>
      <c r="O105" t="s">
        <v>72</v>
      </c>
      <c r="P105" t="s">
        <v>72</v>
      </c>
      <c r="Q105" t="s">
        <v>72</v>
      </c>
      <c r="R105" t="s">
        <v>72</v>
      </c>
      <c r="S105" t="s">
        <v>72</v>
      </c>
      <c r="T105" t="s">
        <v>72</v>
      </c>
      <c r="U105">
        <v>417.84</v>
      </c>
      <c r="V105">
        <v>297.49</v>
      </c>
    </row>
    <row r="106" spans="1:22">
      <c r="A106" t="s">
        <v>133</v>
      </c>
      <c r="B106" t="s">
        <v>424</v>
      </c>
      <c r="C106" t="s">
        <v>202</v>
      </c>
      <c r="D106" t="s">
        <v>93</v>
      </c>
      <c r="E106" t="s">
        <v>136</v>
      </c>
      <c r="F106" t="s">
        <v>425</v>
      </c>
      <c r="G106">
        <v>64</v>
      </c>
      <c r="H106">
        <v>3</v>
      </c>
      <c r="I106" t="s">
        <v>426</v>
      </c>
      <c r="J106" t="s">
        <v>64</v>
      </c>
      <c r="K106" t="s">
        <v>427</v>
      </c>
      <c r="L106" t="s">
        <v>171</v>
      </c>
      <c r="M106" t="s">
        <v>428</v>
      </c>
      <c r="N106" t="s">
        <v>428</v>
      </c>
      <c r="O106" t="s">
        <v>72</v>
      </c>
      <c r="P106" t="s">
        <v>72</v>
      </c>
      <c r="Q106" t="s">
        <v>72</v>
      </c>
      <c r="R106" t="s">
        <v>72</v>
      </c>
      <c r="S106" t="s">
        <v>72</v>
      </c>
      <c r="T106">
        <v>630.225</v>
      </c>
      <c r="U106">
        <v>475.635</v>
      </c>
      <c r="V106">
        <v>483.8</v>
      </c>
    </row>
    <row r="107" spans="1:22">
      <c r="A107" t="s">
        <v>133</v>
      </c>
      <c r="B107" t="s">
        <v>429</v>
      </c>
      <c r="C107" t="s">
        <v>430</v>
      </c>
      <c r="D107" t="s">
        <v>102</v>
      </c>
      <c r="E107" t="s">
        <v>136</v>
      </c>
      <c r="F107" t="s">
        <v>431</v>
      </c>
      <c r="G107">
        <v>50</v>
      </c>
      <c r="H107">
        <v>3</v>
      </c>
      <c r="I107" t="s">
        <v>432</v>
      </c>
      <c r="J107" t="s">
        <v>64</v>
      </c>
      <c r="K107" t="s">
        <v>433</v>
      </c>
      <c r="L107" t="s">
        <v>171</v>
      </c>
      <c r="M107" t="s">
        <v>434</v>
      </c>
      <c r="N107" t="s">
        <v>434</v>
      </c>
      <c r="O107" t="s">
        <v>72</v>
      </c>
      <c r="P107" t="s">
        <v>72</v>
      </c>
      <c r="Q107" t="s">
        <v>72</v>
      </c>
      <c r="R107" t="s">
        <v>72</v>
      </c>
      <c r="S107" t="s">
        <v>72</v>
      </c>
      <c r="T107" t="s">
        <v>72</v>
      </c>
      <c r="U107">
        <v>593.87</v>
      </c>
      <c r="V107">
        <v>616.5</v>
      </c>
    </row>
    <row r="108" spans="1:22">
      <c r="A108" t="s">
        <v>90</v>
      </c>
      <c r="B108" t="s">
        <v>435</v>
      </c>
      <c r="C108" t="s">
        <v>344</v>
      </c>
      <c r="D108" t="s">
        <v>93</v>
      </c>
      <c r="E108" t="s">
        <v>107</v>
      </c>
      <c r="F108" t="s">
        <v>62</v>
      </c>
      <c r="G108">
        <v>12</v>
      </c>
      <c r="H108">
        <v>2</v>
      </c>
      <c r="I108" t="s">
        <v>408</v>
      </c>
      <c r="J108" t="s">
        <v>210</v>
      </c>
      <c r="K108" t="s">
        <v>345</v>
      </c>
      <c r="L108" t="s">
        <v>171</v>
      </c>
      <c r="M108" t="s">
        <v>436</v>
      </c>
      <c r="N108" t="s">
        <v>436</v>
      </c>
      <c r="O108" t="s">
        <v>72</v>
      </c>
      <c r="P108" t="s">
        <v>72</v>
      </c>
      <c r="Q108" t="s">
        <v>72</v>
      </c>
      <c r="R108" t="s">
        <v>72</v>
      </c>
      <c r="S108" t="s">
        <v>72</v>
      </c>
      <c r="T108">
        <v>725.09</v>
      </c>
      <c r="U108">
        <v>584.1025</v>
      </c>
      <c r="V108">
        <v>529.29</v>
      </c>
    </row>
    <row r="109" spans="1:22">
      <c r="A109" t="s">
        <v>90</v>
      </c>
      <c r="B109" t="s">
        <v>437</v>
      </c>
      <c r="C109" t="s">
        <v>438</v>
      </c>
      <c r="D109" t="s">
        <v>102</v>
      </c>
      <c r="E109" t="s">
        <v>94</v>
      </c>
      <c r="F109" t="s">
        <v>289</v>
      </c>
      <c r="G109">
        <v>50</v>
      </c>
      <c r="H109">
        <v>2</v>
      </c>
      <c r="I109" t="s">
        <v>408</v>
      </c>
      <c r="J109" t="s">
        <v>210</v>
      </c>
      <c r="K109" t="s">
        <v>334</v>
      </c>
      <c r="L109" t="s">
        <v>335</v>
      </c>
      <c r="M109" t="s">
        <v>439</v>
      </c>
      <c r="N109" t="s">
        <v>439</v>
      </c>
      <c r="O109" t="s">
        <v>72</v>
      </c>
      <c r="P109" t="s">
        <v>72</v>
      </c>
      <c r="Q109" t="s">
        <v>72</v>
      </c>
      <c r="R109" t="s">
        <v>72</v>
      </c>
      <c r="S109" t="s">
        <v>72</v>
      </c>
      <c r="T109">
        <v>1295.45</v>
      </c>
      <c r="U109">
        <v>1027.3625</v>
      </c>
      <c r="V109">
        <v>858.93</v>
      </c>
    </row>
    <row r="110" spans="1:22">
      <c r="A110" t="s">
        <v>144</v>
      </c>
      <c r="B110" t="s">
        <v>440</v>
      </c>
      <c r="C110" t="s">
        <v>214</v>
      </c>
      <c r="D110" t="s">
        <v>93</v>
      </c>
      <c r="E110" t="s">
        <v>147</v>
      </c>
      <c r="F110" t="s">
        <v>441</v>
      </c>
      <c r="G110">
        <v>64</v>
      </c>
      <c r="H110">
        <v>2</v>
      </c>
      <c r="I110" t="s">
        <v>442</v>
      </c>
      <c r="J110" t="s">
        <v>64</v>
      </c>
      <c r="K110" t="s">
        <v>231</v>
      </c>
      <c r="L110" t="s">
        <v>399</v>
      </c>
      <c r="M110" t="s">
        <v>443</v>
      </c>
      <c r="N110" t="s">
        <v>443</v>
      </c>
      <c r="O110" t="s">
        <v>72</v>
      </c>
      <c r="P110" t="s">
        <v>72</v>
      </c>
      <c r="Q110" t="s">
        <v>72</v>
      </c>
      <c r="R110" t="s">
        <v>72</v>
      </c>
      <c r="S110" t="s">
        <v>72</v>
      </c>
      <c r="T110">
        <v>245.13</v>
      </c>
      <c r="U110">
        <v>223.6</v>
      </c>
      <c r="V110">
        <v>145.02</v>
      </c>
    </row>
    <row r="111" spans="1:22">
      <c r="A111" t="s">
        <v>90</v>
      </c>
      <c r="B111" t="s">
        <v>444</v>
      </c>
      <c r="C111" t="s">
        <v>92</v>
      </c>
      <c r="D111" t="s">
        <v>93</v>
      </c>
      <c r="E111" t="s">
        <v>107</v>
      </c>
      <c r="F111" t="s">
        <v>289</v>
      </c>
      <c r="G111">
        <v>50</v>
      </c>
      <c r="H111">
        <v>2</v>
      </c>
      <c r="I111" t="s">
        <v>445</v>
      </c>
      <c r="J111" t="s">
        <v>64</v>
      </c>
      <c r="K111" t="s">
        <v>150</v>
      </c>
      <c r="L111" t="s">
        <v>77</v>
      </c>
      <c r="M111" t="s">
        <v>446</v>
      </c>
      <c r="N111" t="s">
        <v>446</v>
      </c>
      <c r="O111" t="s">
        <v>72</v>
      </c>
      <c r="P111" t="s">
        <v>72</v>
      </c>
      <c r="Q111" t="s">
        <v>72</v>
      </c>
      <c r="R111" t="s">
        <v>72</v>
      </c>
      <c r="S111" t="s">
        <v>72</v>
      </c>
      <c r="T111" t="s">
        <v>72</v>
      </c>
      <c r="U111">
        <v>727.1525</v>
      </c>
      <c r="V111">
        <v>754.635</v>
      </c>
    </row>
    <row r="112" spans="1:22">
      <c r="A112" t="s">
        <v>90</v>
      </c>
      <c r="B112" t="s">
        <v>447</v>
      </c>
      <c r="C112" t="s">
        <v>92</v>
      </c>
      <c r="D112" t="s">
        <v>93</v>
      </c>
      <c r="E112" t="s">
        <v>107</v>
      </c>
      <c r="F112" t="s">
        <v>289</v>
      </c>
      <c r="G112">
        <v>50</v>
      </c>
      <c r="H112">
        <v>2</v>
      </c>
      <c r="I112" t="s">
        <v>445</v>
      </c>
      <c r="J112" t="s">
        <v>230</v>
      </c>
      <c r="K112" t="s">
        <v>150</v>
      </c>
      <c r="L112" t="s">
        <v>77</v>
      </c>
      <c r="M112" t="s">
        <v>448</v>
      </c>
      <c r="N112" t="s">
        <v>448</v>
      </c>
      <c r="O112" t="s">
        <v>72</v>
      </c>
      <c r="P112" t="s">
        <v>72</v>
      </c>
      <c r="Q112" t="s">
        <v>72</v>
      </c>
      <c r="R112" t="s">
        <v>72</v>
      </c>
      <c r="S112" t="s">
        <v>72</v>
      </c>
      <c r="T112" t="s">
        <v>72</v>
      </c>
      <c r="U112">
        <v>780.815</v>
      </c>
      <c r="V112">
        <v>755.37</v>
      </c>
    </row>
    <row r="113" spans="1:22">
      <c r="A113" t="s">
        <v>57</v>
      </c>
      <c r="B113" t="s">
        <v>449</v>
      </c>
      <c r="C113" t="s">
        <v>450</v>
      </c>
      <c r="D113" t="s">
        <v>168</v>
      </c>
      <c r="E113" t="s">
        <v>107</v>
      </c>
      <c r="F113" t="s">
        <v>451</v>
      </c>
      <c r="G113">
        <v>48</v>
      </c>
      <c r="H113">
        <v>1</v>
      </c>
      <c r="I113" t="s">
        <v>359</v>
      </c>
      <c r="J113" t="s">
        <v>64</v>
      </c>
      <c r="K113" t="s">
        <v>350</v>
      </c>
      <c r="L113" t="s">
        <v>77</v>
      </c>
      <c r="M113" t="s">
        <v>452</v>
      </c>
      <c r="N113" t="s">
        <v>452</v>
      </c>
      <c r="O113" t="s">
        <v>72</v>
      </c>
      <c r="P113" t="s">
        <v>72</v>
      </c>
      <c r="Q113" t="s">
        <v>72</v>
      </c>
      <c r="R113" t="s">
        <v>72</v>
      </c>
      <c r="S113" t="s">
        <v>72</v>
      </c>
      <c r="T113">
        <v>825.23</v>
      </c>
      <c r="U113">
        <v>724.405</v>
      </c>
      <c r="V113">
        <v>582.3</v>
      </c>
    </row>
    <row r="114" spans="1:22">
      <c r="A114" t="s">
        <v>57</v>
      </c>
      <c r="B114" t="s">
        <v>453</v>
      </c>
      <c r="C114" t="s">
        <v>450</v>
      </c>
      <c r="D114" t="s">
        <v>168</v>
      </c>
      <c r="E114" t="s">
        <v>107</v>
      </c>
      <c r="F114" t="s">
        <v>451</v>
      </c>
      <c r="G114">
        <v>48</v>
      </c>
      <c r="H114">
        <v>1</v>
      </c>
      <c r="I114" t="s">
        <v>359</v>
      </c>
      <c r="J114" t="s">
        <v>64</v>
      </c>
      <c r="K114" t="s">
        <v>350</v>
      </c>
      <c r="L114" t="s">
        <v>77</v>
      </c>
      <c r="M114" t="s">
        <v>454</v>
      </c>
      <c r="N114" t="s">
        <v>454</v>
      </c>
      <c r="O114" t="s">
        <v>72</v>
      </c>
      <c r="P114" t="s">
        <v>72</v>
      </c>
      <c r="Q114" t="s">
        <v>72</v>
      </c>
      <c r="R114" t="s">
        <v>72</v>
      </c>
      <c r="S114" t="s">
        <v>72</v>
      </c>
      <c r="T114">
        <v>979.97</v>
      </c>
      <c r="U114">
        <v>854.0525</v>
      </c>
      <c r="V114">
        <v>651.93</v>
      </c>
    </row>
    <row r="115" spans="1:22">
      <c r="A115" t="s">
        <v>57</v>
      </c>
      <c r="B115" t="s">
        <v>455</v>
      </c>
      <c r="C115" t="s">
        <v>450</v>
      </c>
      <c r="D115" t="s">
        <v>168</v>
      </c>
      <c r="E115" t="s">
        <v>107</v>
      </c>
      <c r="F115" t="s">
        <v>451</v>
      </c>
      <c r="G115">
        <v>48</v>
      </c>
      <c r="H115">
        <v>1</v>
      </c>
      <c r="I115" t="s">
        <v>359</v>
      </c>
      <c r="J115" t="s">
        <v>64</v>
      </c>
      <c r="K115" t="s">
        <v>350</v>
      </c>
      <c r="L115" t="s">
        <v>77</v>
      </c>
      <c r="M115" t="s">
        <v>456</v>
      </c>
      <c r="N115" t="s">
        <v>456</v>
      </c>
      <c r="O115" t="s">
        <v>72</v>
      </c>
      <c r="P115" t="s">
        <v>72</v>
      </c>
      <c r="Q115" t="s">
        <v>72</v>
      </c>
      <c r="R115" t="s">
        <v>72</v>
      </c>
      <c r="S115" t="s">
        <v>72</v>
      </c>
      <c r="T115">
        <v>763.06</v>
      </c>
      <c r="U115">
        <v>645.3275</v>
      </c>
      <c r="V115">
        <v>513.115</v>
      </c>
    </row>
    <row r="116" spans="1:22">
      <c r="A116" t="s">
        <v>57</v>
      </c>
      <c r="B116" t="s">
        <v>457</v>
      </c>
      <c r="C116" t="s">
        <v>362</v>
      </c>
      <c r="D116" t="s">
        <v>168</v>
      </c>
      <c r="E116" t="s">
        <v>107</v>
      </c>
      <c r="F116" t="s">
        <v>451</v>
      </c>
      <c r="G116">
        <v>48</v>
      </c>
      <c r="H116">
        <v>1</v>
      </c>
      <c r="I116" t="s">
        <v>359</v>
      </c>
      <c r="J116" t="s">
        <v>64</v>
      </c>
      <c r="K116" t="s">
        <v>458</v>
      </c>
      <c r="L116" t="s">
        <v>171</v>
      </c>
      <c r="M116" t="s">
        <v>459</v>
      </c>
      <c r="N116" t="s">
        <v>459</v>
      </c>
      <c r="O116" t="s">
        <v>72</v>
      </c>
      <c r="P116" t="s">
        <v>72</v>
      </c>
      <c r="Q116" t="s">
        <v>72</v>
      </c>
      <c r="R116" t="s">
        <v>72</v>
      </c>
      <c r="S116" t="s">
        <v>72</v>
      </c>
      <c r="T116" t="s">
        <v>72</v>
      </c>
      <c r="U116">
        <v>925.4275</v>
      </c>
      <c r="V116">
        <v>778.04</v>
      </c>
    </row>
    <row r="117" spans="1:22">
      <c r="A117" t="s">
        <v>57</v>
      </c>
      <c r="B117" t="s">
        <v>460</v>
      </c>
      <c r="C117" t="s">
        <v>362</v>
      </c>
      <c r="D117" t="s">
        <v>168</v>
      </c>
      <c r="E117" t="s">
        <v>107</v>
      </c>
      <c r="F117" t="s">
        <v>451</v>
      </c>
      <c r="G117">
        <v>48</v>
      </c>
      <c r="H117">
        <v>1</v>
      </c>
      <c r="I117" t="s">
        <v>359</v>
      </c>
      <c r="J117" t="s">
        <v>64</v>
      </c>
      <c r="K117" t="s">
        <v>458</v>
      </c>
      <c r="L117" t="s">
        <v>171</v>
      </c>
      <c r="M117" t="s">
        <v>461</v>
      </c>
      <c r="N117" t="s">
        <v>461</v>
      </c>
      <c r="O117" t="s">
        <v>72</v>
      </c>
      <c r="P117" t="s">
        <v>72</v>
      </c>
      <c r="Q117" t="s">
        <v>72</v>
      </c>
      <c r="R117" t="s">
        <v>72</v>
      </c>
      <c r="S117" t="s">
        <v>72</v>
      </c>
      <c r="T117">
        <v>948.79</v>
      </c>
      <c r="U117">
        <v>790.755</v>
      </c>
      <c r="V117">
        <v>643.49</v>
      </c>
    </row>
    <row r="118" spans="1:22">
      <c r="A118" t="s">
        <v>57</v>
      </c>
      <c r="B118" t="s">
        <v>462</v>
      </c>
      <c r="C118" t="s">
        <v>362</v>
      </c>
      <c r="D118" t="s">
        <v>168</v>
      </c>
      <c r="E118" t="s">
        <v>107</v>
      </c>
      <c r="F118" t="s">
        <v>451</v>
      </c>
      <c r="G118">
        <v>48</v>
      </c>
      <c r="H118">
        <v>1</v>
      </c>
      <c r="I118" t="s">
        <v>359</v>
      </c>
      <c r="J118" t="s">
        <v>64</v>
      </c>
      <c r="K118" t="s">
        <v>458</v>
      </c>
      <c r="L118" t="s">
        <v>171</v>
      </c>
      <c r="M118" t="s">
        <v>463</v>
      </c>
      <c r="N118" t="s">
        <v>463</v>
      </c>
      <c r="O118" t="s">
        <v>72</v>
      </c>
      <c r="P118" t="s">
        <v>72</v>
      </c>
      <c r="Q118" t="s">
        <v>72</v>
      </c>
      <c r="R118" t="s">
        <v>72</v>
      </c>
      <c r="S118" t="s">
        <v>72</v>
      </c>
      <c r="T118">
        <v>818.23</v>
      </c>
      <c r="U118">
        <v>691.9625</v>
      </c>
      <c r="V118">
        <v>563.555</v>
      </c>
    </row>
    <row r="119" spans="1:22">
      <c r="A119" t="s">
        <v>57</v>
      </c>
      <c r="B119" t="s">
        <v>464</v>
      </c>
      <c r="C119" t="s">
        <v>146</v>
      </c>
      <c r="D119" t="s">
        <v>93</v>
      </c>
      <c r="E119" t="s">
        <v>115</v>
      </c>
      <c r="F119" t="s">
        <v>358</v>
      </c>
      <c r="G119">
        <v>48</v>
      </c>
      <c r="H119">
        <v>2</v>
      </c>
      <c r="I119" t="s">
        <v>359</v>
      </c>
      <c r="J119" t="s">
        <v>64</v>
      </c>
      <c r="K119" t="s">
        <v>465</v>
      </c>
      <c r="L119" t="s">
        <v>77</v>
      </c>
      <c r="M119" t="s">
        <v>466</v>
      </c>
      <c r="N119" t="s">
        <v>466</v>
      </c>
      <c r="O119" t="s">
        <v>72</v>
      </c>
      <c r="P119" t="s">
        <v>72</v>
      </c>
      <c r="Q119" t="s">
        <v>72</v>
      </c>
      <c r="R119" t="s">
        <v>72</v>
      </c>
      <c r="S119" t="s">
        <v>72</v>
      </c>
      <c r="T119">
        <v>1242.09</v>
      </c>
      <c r="U119">
        <v>996.5925</v>
      </c>
      <c r="V119">
        <v>789.945</v>
      </c>
    </row>
    <row r="120" spans="1:22">
      <c r="A120" t="s">
        <v>57</v>
      </c>
      <c r="B120" t="s">
        <v>467</v>
      </c>
      <c r="C120" t="s">
        <v>357</v>
      </c>
      <c r="D120" t="s">
        <v>93</v>
      </c>
      <c r="E120" t="s">
        <v>115</v>
      </c>
      <c r="F120" t="s">
        <v>358</v>
      </c>
      <c r="G120">
        <v>48</v>
      </c>
      <c r="H120">
        <v>2</v>
      </c>
      <c r="I120" t="s">
        <v>359</v>
      </c>
      <c r="J120" t="s">
        <v>64</v>
      </c>
      <c r="K120" t="s">
        <v>277</v>
      </c>
      <c r="L120" t="s">
        <v>171</v>
      </c>
      <c r="M120" t="s">
        <v>468</v>
      </c>
      <c r="N120" t="s">
        <v>468</v>
      </c>
      <c r="O120" t="s">
        <v>72</v>
      </c>
      <c r="P120" t="s">
        <v>72</v>
      </c>
      <c r="Q120" t="s">
        <v>72</v>
      </c>
      <c r="R120" t="s">
        <v>72</v>
      </c>
      <c r="S120" t="s">
        <v>72</v>
      </c>
      <c r="T120">
        <v>1478.6</v>
      </c>
      <c r="U120">
        <v>1163.9925</v>
      </c>
      <c r="V120">
        <v>830.2</v>
      </c>
    </row>
    <row r="121" spans="1:22">
      <c r="A121" t="s">
        <v>57</v>
      </c>
      <c r="B121" t="s">
        <v>469</v>
      </c>
      <c r="C121" t="s">
        <v>357</v>
      </c>
      <c r="D121" t="s">
        <v>93</v>
      </c>
      <c r="E121" t="s">
        <v>115</v>
      </c>
      <c r="F121" t="s">
        <v>358</v>
      </c>
      <c r="G121">
        <v>48</v>
      </c>
      <c r="H121">
        <v>2</v>
      </c>
      <c r="I121" t="s">
        <v>359</v>
      </c>
      <c r="J121" t="s">
        <v>64</v>
      </c>
      <c r="K121" t="s">
        <v>277</v>
      </c>
      <c r="L121" t="s">
        <v>171</v>
      </c>
      <c r="M121" t="s">
        <v>470</v>
      </c>
      <c r="N121" t="s">
        <v>470</v>
      </c>
      <c r="O121" t="s">
        <v>72</v>
      </c>
      <c r="P121" t="s">
        <v>72</v>
      </c>
      <c r="Q121" t="s">
        <v>72</v>
      </c>
      <c r="R121" t="s">
        <v>72</v>
      </c>
      <c r="S121" t="s">
        <v>72</v>
      </c>
      <c r="T121">
        <v>1336.28</v>
      </c>
      <c r="U121">
        <v>1021.3675</v>
      </c>
      <c r="V121">
        <v>775.755</v>
      </c>
    </row>
    <row r="122" spans="1:22">
      <c r="A122" t="s">
        <v>57</v>
      </c>
      <c r="B122" t="s">
        <v>471</v>
      </c>
      <c r="C122" t="s">
        <v>146</v>
      </c>
      <c r="D122" t="s">
        <v>168</v>
      </c>
      <c r="E122" t="s">
        <v>115</v>
      </c>
      <c r="F122" t="s">
        <v>358</v>
      </c>
      <c r="G122">
        <v>48</v>
      </c>
      <c r="H122">
        <v>2</v>
      </c>
      <c r="I122" t="s">
        <v>359</v>
      </c>
      <c r="J122" t="s">
        <v>64</v>
      </c>
      <c r="K122" t="s">
        <v>465</v>
      </c>
      <c r="L122" t="s">
        <v>77</v>
      </c>
      <c r="M122" t="s">
        <v>472</v>
      </c>
      <c r="N122" t="s">
        <v>472</v>
      </c>
      <c r="O122" t="s">
        <v>72</v>
      </c>
      <c r="P122" t="s">
        <v>72</v>
      </c>
      <c r="Q122" t="s">
        <v>72</v>
      </c>
      <c r="R122" t="s">
        <v>72</v>
      </c>
      <c r="S122" t="s">
        <v>72</v>
      </c>
      <c r="T122">
        <v>944.43</v>
      </c>
      <c r="U122">
        <v>810.1625</v>
      </c>
      <c r="V122">
        <v>656.845</v>
      </c>
    </row>
    <row r="123" spans="1:22">
      <c r="A123" t="s">
        <v>57</v>
      </c>
      <c r="B123" t="s">
        <v>473</v>
      </c>
      <c r="C123" t="s">
        <v>146</v>
      </c>
      <c r="D123" t="s">
        <v>93</v>
      </c>
      <c r="E123" t="s">
        <v>115</v>
      </c>
      <c r="F123" t="s">
        <v>358</v>
      </c>
      <c r="G123">
        <v>48</v>
      </c>
      <c r="H123">
        <v>2</v>
      </c>
      <c r="I123" t="s">
        <v>359</v>
      </c>
      <c r="J123" t="s">
        <v>64</v>
      </c>
      <c r="K123" t="s">
        <v>465</v>
      </c>
      <c r="L123" t="s">
        <v>77</v>
      </c>
      <c r="M123" t="s">
        <v>474</v>
      </c>
      <c r="N123" t="s">
        <v>474</v>
      </c>
      <c r="O123" t="s">
        <v>72</v>
      </c>
      <c r="P123" t="s">
        <v>72</v>
      </c>
      <c r="Q123" t="s">
        <v>72</v>
      </c>
      <c r="R123" t="s">
        <v>72</v>
      </c>
      <c r="S123" t="s">
        <v>72</v>
      </c>
      <c r="T123">
        <v>1065.23</v>
      </c>
      <c r="U123">
        <v>884.125</v>
      </c>
      <c r="V123">
        <v>707.34</v>
      </c>
    </row>
    <row r="124" spans="1:22">
      <c r="A124" t="s">
        <v>90</v>
      </c>
      <c r="B124" t="s">
        <v>475</v>
      </c>
      <c r="C124" t="s">
        <v>344</v>
      </c>
      <c r="D124" t="s">
        <v>93</v>
      </c>
      <c r="E124" t="s">
        <v>107</v>
      </c>
      <c r="F124" t="s">
        <v>62</v>
      </c>
      <c r="G124">
        <v>12</v>
      </c>
      <c r="H124">
        <v>2</v>
      </c>
      <c r="I124" t="s">
        <v>408</v>
      </c>
      <c r="J124" t="s">
        <v>64</v>
      </c>
      <c r="K124" t="s">
        <v>345</v>
      </c>
      <c r="L124" t="s">
        <v>171</v>
      </c>
      <c r="M124" t="s">
        <v>476</v>
      </c>
      <c r="N124" t="s">
        <v>476</v>
      </c>
      <c r="O124" t="s">
        <v>72</v>
      </c>
      <c r="P124" t="s">
        <v>72</v>
      </c>
      <c r="Q124" t="s">
        <v>72</v>
      </c>
      <c r="R124" t="s">
        <v>72</v>
      </c>
      <c r="S124" t="s">
        <v>72</v>
      </c>
      <c r="T124">
        <v>570.85</v>
      </c>
      <c r="U124">
        <v>546.7125</v>
      </c>
      <c r="V124">
        <v>490.015</v>
      </c>
    </row>
    <row r="125" spans="1:22">
      <c r="A125" t="s">
        <v>144</v>
      </c>
      <c r="B125" t="s">
        <v>477</v>
      </c>
      <c r="C125" t="s">
        <v>362</v>
      </c>
      <c r="D125" t="s">
        <v>102</v>
      </c>
      <c r="E125" t="s">
        <v>147</v>
      </c>
      <c r="F125" t="s">
        <v>137</v>
      </c>
      <c r="G125">
        <v>50</v>
      </c>
      <c r="H125">
        <v>2</v>
      </c>
      <c r="I125" t="s">
        <v>408</v>
      </c>
      <c r="J125" t="s">
        <v>64</v>
      </c>
      <c r="K125" t="s">
        <v>163</v>
      </c>
      <c r="L125" t="s">
        <v>171</v>
      </c>
      <c r="M125" t="s">
        <v>478</v>
      </c>
      <c r="N125" t="s">
        <v>478</v>
      </c>
      <c r="O125" t="s">
        <v>72</v>
      </c>
      <c r="P125" t="s">
        <v>72</v>
      </c>
      <c r="Q125" t="s">
        <v>72</v>
      </c>
      <c r="R125" t="s">
        <v>72</v>
      </c>
      <c r="S125" t="s">
        <v>72</v>
      </c>
      <c r="T125" t="s">
        <v>72</v>
      </c>
      <c r="U125">
        <v>637.3725</v>
      </c>
      <c r="V125">
        <v>576.18</v>
      </c>
    </row>
    <row r="126" spans="1:22">
      <c r="A126" t="s">
        <v>133</v>
      </c>
      <c r="B126" t="s">
        <v>479</v>
      </c>
      <c r="C126" t="s">
        <v>207</v>
      </c>
      <c r="D126" t="s">
        <v>102</v>
      </c>
      <c r="E126" t="s">
        <v>136</v>
      </c>
      <c r="F126" t="s">
        <v>431</v>
      </c>
      <c r="G126">
        <v>50</v>
      </c>
      <c r="H126">
        <v>3</v>
      </c>
      <c r="I126" t="s">
        <v>480</v>
      </c>
      <c r="J126" t="s">
        <v>210</v>
      </c>
      <c r="K126" t="s">
        <v>481</v>
      </c>
      <c r="L126" t="s">
        <v>482</v>
      </c>
      <c r="M126" t="s">
        <v>483</v>
      </c>
      <c r="N126" t="s">
        <v>483</v>
      </c>
      <c r="O126" t="s">
        <v>72</v>
      </c>
      <c r="P126" t="s">
        <v>72</v>
      </c>
      <c r="Q126" t="s">
        <v>72</v>
      </c>
      <c r="R126" t="s">
        <v>72</v>
      </c>
      <c r="S126" t="s">
        <v>72</v>
      </c>
      <c r="T126" t="s">
        <v>72</v>
      </c>
      <c r="U126">
        <v>794.503333333333</v>
      </c>
      <c r="V126">
        <v>717.02</v>
      </c>
    </row>
    <row r="127" spans="1:22">
      <c r="A127" t="s">
        <v>133</v>
      </c>
      <c r="B127" t="s">
        <v>484</v>
      </c>
      <c r="C127" t="s">
        <v>234</v>
      </c>
      <c r="D127" t="s">
        <v>93</v>
      </c>
      <c r="E127" t="s">
        <v>136</v>
      </c>
      <c r="F127" t="s">
        <v>295</v>
      </c>
      <c r="G127">
        <v>64</v>
      </c>
      <c r="H127">
        <v>3</v>
      </c>
      <c r="I127" t="s">
        <v>485</v>
      </c>
      <c r="J127" t="s">
        <v>210</v>
      </c>
      <c r="K127" t="s">
        <v>231</v>
      </c>
      <c r="L127" t="s">
        <v>171</v>
      </c>
      <c r="M127" t="s">
        <v>486</v>
      </c>
      <c r="N127" t="s">
        <v>486</v>
      </c>
      <c r="O127" t="s">
        <v>72</v>
      </c>
      <c r="P127" t="s">
        <v>72</v>
      </c>
      <c r="Q127" t="s">
        <v>72</v>
      </c>
      <c r="R127" t="s">
        <v>72</v>
      </c>
      <c r="S127" t="s">
        <v>72</v>
      </c>
      <c r="T127" t="s">
        <v>72</v>
      </c>
      <c r="U127">
        <v>386.306666666667</v>
      </c>
      <c r="V127">
        <v>366.04</v>
      </c>
    </row>
    <row r="128" spans="1:22">
      <c r="A128" t="s">
        <v>133</v>
      </c>
      <c r="B128" t="s">
        <v>487</v>
      </c>
      <c r="C128" t="s">
        <v>430</v>
      </c>
      <c r="D128" t="s">
        <v>93</v>
      </c>
      <c r="E128" t="s">
        <v>235</v>
      </c>
      <c r="F128" t="s">
        <v>391</v>
      </c>
      <c r="G128">
        <v>50</v>
      </c>
      <c r="H128">
        <v>2</v>
      </c>
      <c r="I128" t="s">
        <v>488</v>
      </c>
      <c r="J128" t="s">
        <v>230</v>
      </c>
      <c r="K128" t="s">
        <v>231</v>
      </c>
      <c r="L128" t="s">
        <v>151</v>
      </c>
      <c r="M128" t="s">
        <v>489</v>
      </c>
      <c r="N128" t="s">
        <v>489</v>
      </c>
      <c r="O128" t="s">
        <v>72</v>
      </c>
      <c r="P128" t="s">
        <v>72</v>
      </c>
      <c r="Q128" t="s">
        <v>72</v>
      </c>
      <c r="R128" t="s">
        <v>72</v>
      </c>
      <c r="S128" t="s">
        <v>72</v>
      </c>
      <c r="T128" t="s">
        <v>72</v>
      </c>
      <c r="U128" t="s">
        <v>72</v>
      </c>
      <c r="V128">
        <v>404.5</v>
      </c>
    </row>
    <row r="129" spans="1:22">
      <c r="A129" t="s">
        <v>144</v>
      </c>
      <c r="B129" t="s">
        <v>490</v>
      </c>
      <c r="C129" t="s">
        <v>381</v>
      </c>
      <c r="D129" t="s">
        <v>102</v>
      </c>
      <c r="E129" t="s">
        <v>136</v>
      </c>
      <c r="F129" t="s">
        <v>330</v>
      </c>
      <c r="G129">
        <v>50</v>
      </c>
      <c r="H129">
        <v>2</v>
      </c>
      <c r="I129" t="s">
        <v>491</v>
      </c>
      <c r="J129" t="s">
        <v>64</v>
      </c>
      <c r="K129" t="s">
        <v>231</v>
      </c>
      <c r="L129" t="s">
        <v>171</v>
      </c>
      <c r="M129" t="s">
        <v>492</v>
      </c>
      <c r="N129" t="s">
        <v>492</v>
      </c>
      <c r="O129" t="s">
        <v>72</v>
      </c>
      <c r="P129" t="s">
        <v>72</v>
      </c>
      <c r="Q129" t="s">
        <v>72</v>
      </c>
      <c r="R129" t="s">
        <v>72</v>
      </c>
      <c r="S129" t="s">
        <v>72</v>
      </c>
      <c r="T129" t="s">
        <v>72</v>
      </c>
      <c r="U129" t="s">
        <v>72</v>
      </c>
      <c r="V129">
        <v>542.48</v>
      </c>
    </row>
    <row r="130" spans="1:22">
      <c r="A130" t="s">
        <v>90</v>
      </c>
      <c r="B130" t="s">
        <v>493</v>
      </c>
      <c r="C130" t="s">
        <v>494</v>
      </c>
      <c r="D130" t="s">
        <v>102</v>
      </c>
      <c r="E130" t="s">
        <v>107</v>
      </c>
      <c r="F130" t="s">
        <v>412</v>
      </c>
      <c r="G130">
        <v>200</v>
      </c>
      <c r="H130">
        <v>2</v>
      </c>
      <c r="I130" t="s">
        <v>445</v>
      </c>
      <c r="J130" t="s">
        <v>64</v>
      </c>
      <c r="K130" t="s">
        <v>231</v>
      </c>
      <c r="L130" t="s">
        <v>104</v>
      </c>
      <c r="M130" t="s">
        <v>495</v>
      </c>
      <c r="N130" t="s">
        <v>495</v>
      </c>
      <c r="O130" t="s">
        <v>72</v>
      </c>
      <c r="P130" t="s">
        <v>72</v>
      </c>
      <c r="Q130" t="s">
        <v>72</v>
      </c>
      <c r="R130" t="s">
        <v>72</v>
      </c>
      <c r="S130" t="s">
        <v>72</v>
      </c>
      <c r="T130" t="s">
        <v>72</v>
      </c>
      <c r="U130">
        <v>900.323333333333</v>
      </c>
      <c r="V130">
        <v>782.27</v>
      </c>
    </row>
    <row r="131" spans="1:22">
      <c r="A131" t="s">
        <v>57</v>
      </c>
      <c r="B131" t="s">
        <v>496</v>
      </c>
      <c r="C131" t="s">
        <v>249</v>
      </c>
      <c r="D131" t="s">
        <v>75</v>
      </c>
      <c r="E131" t="s">
        <v>61</v>
      </c>
      <c r="F131" t="s">
        <v>62</v>
      </c>
      <c r="G131">
        <v>12</v>
      </c>
      <c r="H131">
        <v>2</v>
      </c>
      <c r="I131" t="s">
        <v>497</v>
      </c>
      <c r="J131" t="s">
        <v>230</v>
      </c>
      <c r="K131" t="s">
        <v>498</v>
      </c>
      <c r="L131" t="s">
        <v>86</v>
      </c>
      <c r="M131" t="s">
        <v>499</v>
      </c>
      <c r="N131" t="s">
        <v>499</v>
      </c>
      <c r="O131" t="s">
        <v>72</v>
      </c>
      <c r="P131" t="s">
        <v>72</v>
      </c>
      <c r="Q131" t="s">
        <v>72</v>
      </c>
      <c r="R131" t="s">
        <v>72</v>
      </c>
      <c r="S131" t="s">
        <v>72</v>
      </c>
      <c r="T131" t="s">
        <v>72</v>
      </c>
      <c r="U131">
        <v>241.63</v>
      </c>
      <c r="V131">
        <v>241.975</v>
      </c>
    </row>
    <row r="132" spans="1:22">
      <c r="A132" t="s">
        <v>90</v>
      </c>
      <c r="B132" t="s">
        <v>500</v>
      </c>
      <c r="C132" t="s">
        <v>101</v>
      </c>
      <c r="D132" t="s">
        <v>93</v>
      </c>
      <c r="E132" t="s">
        <v>107</v>
      </c>
      <c r="F132" t="s">
        <v>289</v>
      </c>
      <c r="G132">
        <v>50</v>
      </c>
      <c r="H132">
        <v>2</v>
      </c>
      <c r="I132" t="s">
        <v>445</v>
      </c>
      <c r="J132" t="s">
        <v>64</v>
      </c>
      <c r="K132" t="s">
        <v>281</v>
      </c>
      <c r="L132" t="s">
        <v>303</v>
      </c>
      <c r="M132" t="s">
        <v>501</v>
      </c>
      <c r="N132" t="s">
        <v>501</v>
      </c>
      <c r="O132" t="s">
        <v>72</v>
      </c>
      <c r="P132" t="s">
        <v>72</v>
      </c>
      <c r="Q132" t="s">
        <v>72</v>
      </c>
      <c r="R132" t="s">
        <v>72</v>
      </c>
      <c r="S132" t="s">
        <v>72</v>
      </c>
      <c r="T132" t="s">
        <v>72</v>
      </c>
      <c r="U132">
        <v>629.91</v>
      </c>
      <c r="V132">
        <v>581.505</v>
      </c>
    </row>
    <row r="133" spans="1:22">
      <c r="A133" t="s">
        <v>133</v>
      </c>
      <c r="B133" t="s">
        <v>502</v>
      </c>
      <c r="C133" t="s">
        <v>234</v>
      </c>
      <c r="D133" t="s">
        <v>93</v>
      </c>
      <c r="E133" t="s">
        <v>136</v>
      </c>
      <c r="F133" t="s">
        <v>137</v>
      </c>
      <c r="G133">
        <v>50</v>
      </c>
      <c r="H133">
        <v>2</v>
      </c>
      <c r="I133" t="s">
        <v>485</v>
      </c>
      <c r="J133" t="s">
        <v>230</v>
      </c>
      <c r="K133" t="s">
        <v>231</v>
      </c>
      <c r="L133" t="s">
        <v>171</v>
      </c>
      <c r="M133" t="s">
        <v>503</v>
      </c>
      <c r="N133" t="s">
        <v>503</v>
      </c>
      <c r="O133" t="s">
        <v>72</v>
      </c>
      <c r="P133" t="s">
        <v>72</v>
      </c>
      <c r="Q133" t="s">
        <v>72</v>
      </c>
      <c r="R133" t="s">
        <v>72</v>
      </c>
      <c r="S133" t="s">
        <v>72</v>
      </c>
      <c r="T133" t="s">
        <v>72</v>
      </c>
      <c r="U133" t="s">
        <v>72</v>
      </c>
      <c r="V133">
        <v>665.86</v>
      </c>
    </row>
    <row r="134" spans="1:22">
      <c r="A134" t="s">
        <v>133</v>
      </c>
      <c r="B134" t="s">
        <v>504</v>
      </c>
      <c r="C134" t="s">
        <v>207</v>
      </c>
      <c r="D134" t="s">
        <v>102</v>
      </c>
      <c r="E134" t="s">
        <v>136</v>
      </c>
      <c r="F134" t="s">
        <v>431</v>
      </c>
      <c r="G134">
        <v>50</v>
      </c>
      <c r="H134">
        <v>3</v>
      </c>
      <c r="I134" t="s">
        <v>480</v>
      </c>
      <c r="J134" t="s">
        <v>210</v>
      </c>
      <c r="K134" t="s">
        <v>481</v>
      </c>
      <c r="L134" t="s">
        <v>482</v>
      </c>
      <c r="M134" t="s">
        <v>505</v>
      </c>
      <c r="N134" t="s">
        <v>505</v>
      </c>
      <c r="O134" t="s">
        <v>72</v>
      </c>
      <c r="P134" t="s">
        <v>72</v>
      </c>
      <c r="Q134" t="s">
        <v>72</v>
      </c>
      <c r="R134" t="s">
        <v>72</v>
      </c>
      <c r="S134" t="s">
        <v>72</v>
      </c>
      <c r="T134" t="s">
        <v>72</v>
      </c>
      <c r="U134" t="s">
        <v>72</v>
      </c>
      <c r="V134">
        <v>750.665</v>
      </c>
    </row>
    <row r="135" spans="1:22">
      <c r="A135" t="s">
        <v>133</v>
      </c>
      <c r="B135" t="s">
        <v>506</v>
      </c>
      <c r="C135" t="s">
        <v>344</v>
      </c>
      <c r="D135" t="s">
        <v>93</v>
      </c>
      <c r="E135" t="s">
        <v>136</v>
      </c>
      <c r="F135" t="s">
        <v>275</v>
      </c>
      <c r="G135">
        <v>50</v>
      </c>
      <c r="H135">
        <v>3</v>
      </c>
      <c r="I135" t="s">
        <v>507</v>
      </c>
      <c r="J135" t="s">
        <v>210</v>
      </c>
      <c r="K135" t="s">
        <v>231</v>
      </c>
      <c r="L135" t="s">
        <v>171</v>
      </c>
      <c r="M135" t="s">
        <v>508</v>
      </c>
      <c r="N135" t="s">
        <v>508</v>
      </c>
      <c r="O135" t="s">
        <v>72</v>
      </c>
      <c r="P135" t="s">
        <v>72</v>
      </c>
      <c r="Q135" t="s">
        <v>72</v>
      </c>
      <c r="R135" t="s">
        <v>72</v>
      </c>
      <c r="S135" t="s">
        <v>72</v>
      </c>
      <c r="T135" t="s">
        <v>72</v>
      </c>
      <c r="U135">
        <v>379.875</v>
      </c>
      <c r="V135">
        <v>296.21</v>
      </c>
    </row>
    <row r="136" spans="1:22">
      <c r="A136" t="s">
        <v>133</v>
      </c>
      <c r="B136" t="s">
        <v>509</v>
      </c>
      <c r="C136" t="s">
        <v>430</v>
      </c>
      <c r="D136" t="s">
        <v>93</v>
      </c>
      <c r="E136" t="s">
        <v>235</v>
      </c>
      <c r="F136" t="s">
        <v>391</v>
      </c>
      <c r="G136">
        <v>50</v>
      </c>
      <c r="H136">
        <v>2</v>
      </c>
      <c r="I136" t="s">
        <v>510</v>
      </c>
      <c r="J136" t="s">
        <v>230</v>
      </c>
      <c r="K136" t="s">
        <v>511</v>
      </c>
      <c r="L136" t="s">
        <v>151</v>
      </c>
      <c r="M136" t="s">
        <v>512</v>
      </c>
      <c r="N136" t="s">
        <v>512</v>
      </c>
      <c r="O136" t="s">
        <v>72</v>
      </c>
      <c r="P136" t="s">
        <v>72</v>
      </c>
      <c r="Q136" t="s">
        <v>72</v>
      </c>
      <c r="R136" t="s">
        <v>72</v>
      </c>
      <c r="S136" t="s">
        <v>72</v>
      </c>
      <c r="T136" t="s">
        <v>72</v>
      </c>
      <c r="U136" t="s">
        <v>72</v>
      </c>
      <c r="V136">
        <v>453.25</v>
      </c>
    </row>
    <row r="137" spans="1:22">
      <c r="A137" t="s">
        <v>90</v>
      </c>
      <c r="B137" t="s">
        <v>513</v>
      </c>
      <c r="C137" t="s">
        <v>438</v>
      </c>
      <c r="D137" t="s">
        <v>102</v>
      </c>
      <c r="E137" t="s">
        <v>94</v>
      </c>
      <c r="F137" t="s">
        <v>289</v>
      </c>
      <c r="G137">
        <v>50</v>
      </c>
      <c r="H137">
        <v>2</v>
      </c>
      <c r="I137" t="s">
        <v>408</v>
      </c>
      <c r="J137" t="s">
        <v>230</v>
      </c>
      <c r="K137" t="s">
        <v>334</v>
      </c>
      <c r="L137" t="s">
        <v>335</v>
      </c>
      <c r="M137" t="s">
        <v>514</v>
      </c>
      <c r="N137" t="s">
        <v>514</v>
      </c>
      <c r="O137" t="s">
        <v>72</v>
      </c>
      <c r="P137" t="s">
        <v>72</v>
      </c>
      <c r="Q137" t="s">
        <v>72</v>
      </c>
      <c r="R137" t="s">
        <v>72</v>
      </c>
      <c r="S137" t="s">
        <v>72</v>
      </c>
      <c r="T137" t="s">
        <v>72</v>
      </c>
      <c r="U137">
        <v>829.67</v>
      </c>
      <c r="V137">
        <v>752.545</v>
      </c>
    </row>
    <row r="138" spans="1:22">
      <c r="A138" t="s">
        <v>57</v>
      </c>
      <c r="B138" t="s">
        <v>515</v>
      </c>
      <c r="C138" t="s">
        <v>249</v>
      </c>
      <c r="D138" t="s">
        <v>168</v>
      </c>
      <c r="E138" t="s">
        <v>107</v>
      </c>
      <c r="F138" t="s">
        <v>451</v>
      </c>
      <c r="G138">
        <v>48</v>
      </c>
      <c r="H138">
        <v>1</v>
      </c>
      <c r="I138" t="s">
        <v>516</v>
      </c>
      <c r="J138" t="s">
        <v>64</v>
      </c>
      <c r="K138" t="s">
        <v>517</v>
      </c>
      <c r="L138" t="s">
        <v>77</v>
      </c>
      <c r="M138" t="s">
        <v>518</v>
      </c>
      <c r="N138" t="s">
        <v>518</v>
      </c>
      <c r="O138" t="s">
        <v>72</v>
      </c>
      <c r="P138" t="s">
        <v>72</v>
      </c>
      <c r="Q138" t="s">
        <v>72</v>
      </c>
      <c r="R138" t="s">
        <v>72</v>
      </c>
      <c r="S138" t="s">
        <v>72</v>
      </c>
      <c r="T138" t="s">
        <v>72</v>
      </c>
      <c r="U138">
        <v>866.14</v>
      </c>
      <c r="V138">
        <v>772.8</v>
      </c>
    </row>
    <row r="139" spans="1:22">
      <c r="A139" t="s">
        <v>57</v>
      </c>
      <c r="B139" t="s">
        <v>519</v>
      </c>
      <c r="C139" t="s">
        <v>146</v>
      </c>
      <c r="D139" t="s">
        <v>93</v>
      </c>
      <c r="E139" t="s">
        <v>115</v>
      </c>
      <c r="F139" t="s">
        <v>289</v>
      </c>
      <c r="G139">
        <v>50</v>
      </c>
      <c r="H139">
        <v>2</v>
      </c>
      <c r="I139" t="s">
        <v>520</v>
      </c>
      <c r="J139" t="s">
        <v>64</v>
      </c>
      <c r="K139" t="s">
        <v>465</v>
      </c>
      <c r="L139" t="s">
        <v>77</v>
      </c>
      <c r="M139" t="s">
        <v>521</v>
      </c>
      <c r="N139" t="s">
        <v>521</v>
      </c>
      <c r="O139" t="s">
        <v>72</v>
      </c>
      <c r="P139" t="s">
        <v>72</v>
      </c>
      <c r="Q139" t="s">
        <v>72</v>
      </c>
      <c r="R139" t="s">
        <v>72</v>
      </c>
      <c r="S139" t="s">
        <v>72</v>
      </c>
      <c r="T139" t="s">
        <v>72</v>
      </c>
      <c r="U139">
        <v>1262.16</v>
      </c>
      <c r="V139">
        <v>1157.715</v>
      </c>
    </row>
    <row r="140" spans="1:22">
      <c r="A140" t="s">
        <v>57</v>
      </c>
      <c r="B140" t="s">
        <v>522</v>
      </c>
      <c r="C140" t="s">
        <v>362</v>
      </c>
      <c r="D140" t="s">
        <v>168</v>
      </c>
      <c r="E140" t="s">
        <v>107</v>
      </c>
      <c r="F140" t="s">
        <v>451</v>
      </c>
      <c r="G140">
        <v>48</v>
      </c>
      <c r="H140">
        <v>1</v>
      </c>
      <c r="I140" t="s">
        <v>516</v>
      </c>
      <c r="J140" t="s">
        <v>64</v>
      </c>
      <c r="K140" t="s">
        <v>372</v>
      </c>
      <c r="L140" t="s">
        <v>171</v>
      </c>
      <c r="M140" t="s">
        <v>523</v>
      </c>
      <c r="N140" t="s">
        <v>523</v>
      </c>
      <c r="O140" t="s">
        <v>72</v>
      </c>
      <c r="P140" t="s">
        <v>72</v>
      </c>
      <c r="Q140" t="s">
        <v>72</v>
      </c>
      <c r="R140" t="s">
        <v>72</v>
      </c>
      <c r="S140" t="s">
        <v>72</v>
      </c>
      <c r="T140" t="s">
        <v>72</v>
      </c>
      <c r="U140">
        <v>1149.95</v>
      </c>
      <c r="V140">
        <v>966.22</v>
      </c>
    </row>
    <row r="141" spans="1:22">
      <c r="A141" t="s">
        <v>57</v>
      </c>
      <c r="B141" t="s">
        <v>524</v>
      </c>
      <c r="C141" t="s">
        <v>362</v>
      </c>
      <c r="D141" t="s">
        <v>168</v>
      </c>
      <c r="E141" t="s">
        <v>107</v>
      </c>
      <c r="F141" t="s">
        <v>451</v>
      </c>
      <c r="G141">
        <v>48</v>
      </c>
      <c r="H141">
        <v>1</v>
      </c>
      <c r="I141" t="s">
        <v>516</v>
      </c>
      <c r="J141" t="s">
        <v>64</v>
      </c>
      <c r="K141" t="s">
        <v>372</v>
      </c>
      <c r="L141" t="s">
        <v>171</v>
      </c>
      <c r="M141" t="s">
        <v>525</v>
      </c>
      <c r="N141" t="s">
        <v>525</v>
      </c>
      <c r="O141" t="s">
        <v>72</v>
      </c>
      <c r="P141" t="s">
        <v>72</v>
      </c>
      <c r="Q141" t="s">
        <v>72</v>
      </c>
      <c r="R141" t="s">
        <v>72</v>
      </c>
      <c r="S141" t="s">
        <v>72</v>
      </c>
      <c r="T141" t="s">
        <v>72</v>
      </c>
      <c r="U141">
        <v>950.76</v>
      </c>
      <c r="V141">
        <v>814.5</v>
      </c>
    </row>
    <row r="142" spans="1:22">
      <c r="A142" t="s">
        <v>57</v>
      </c>
      <c r="B142" t="s">
        <v>526</v>
      </c>
      <c r="C142" t="s">
        <v>357</v>
      </c>
      <c r="D142" t="s">
        <v>93</v>
      </c>
      <c r="E142" t="s">
        <v>115</v>
      </c>
      <c r="F142" t="s">
        <v>358</v>
      </c>
      <c r="G142">
        <v>48</v>
      </c>
      <c r="H142">
        <v>2</v>
      </c>
      <c r="I142" t="s">
        <v>520</v>
      </c>
      <c r="J142" t="s">
        <v>64</v>
      </c>
      <c r="K142" t="s">
        <v>277</v>
      </c>
      <c r="L142" t="s">
        <v>171</v>
      </c>
      <c r="M142" t="s">
        <v>527</v>
      </c>
      <c r="N142" t="s">
        <v>527</v>
      </c>
      <c r="O142" t="s">
        <v>72</v>
      </c>
      <c r="P142" t="s">
        <v>72</v>
      </c>
      <c r="Q142" t="s">
        <v>72</v>
      </c>
      <c r="R142" t="s">
        <v>72</v>
      </c>
      <c r="S142" t="s">
        <v>72</v>
      </c>
      <c r="T142" t="s">
        <v>72</v>
      </c>
      <c r="U142">
        <v>1246.03</v>
      </c>
      <c r="V142">
        <v>1059.695</v>
      </c>
    </row>
    <row r="143" spans="1:22">
      <c r="A143" t="s">
        <v>57</v>
      </c>
      <c r="B143" t="s">
        <v>528</v>
      </c>
      <c r="C143" t="s">
        <v>362</v>
      </c>
      <c r="D143" t="s">
        <v>168</v>
      </c>
      <c r="E143" t="s">
        <v>107</v>
      </c>
      <c r="F143" t="s">
        <v>451</v>
      </c>
      <c r="G143">
        <v>48</v>
      </c>
      <c r="H143">
        <v>1</v>
      </c>
      <c r="I143" t="s">
        <v>516</v>
      </c>
      <c r="J143" t="s">
        <v>64</v>
      </c>
      <c r="K143" t="s">
        <v>372</v>
      </c>
      <c r="L143" t="s">
        <v>171</v>
      </c>
      <c r="M143" t="s">
        <v>529</v>
      </c>
      <c r="N143" t="s">
        <v>529</v>
      </c>
      <c r="O143" t="s">
        <v>72</v>
      </c>
      <c r="P143" t="s">
        <v>72</v>
      </c>
      <c r="Q143" t="s">
        <v>72</v>
      </c>
      <c r="R143" t="s">
        <v>72</v>
      </c>
      <c r="S143" t="s">
        <v>72</v>
      </c>
      <c r="T143" t="s">
        <v>72</v>
      </c>
      <c r="U143">
        <v>871.52</v>
      </c>
      <c r="V143">
        <v>745.42</v>
      </c>
    </row>
    <row r="144" spans="1:22">
      <c r="A144" t="s">
        <v>57</v>
      </c>
      <c r="B144" t="s">
        <v>530</v>
      </c>
      <c r="C144" t="s">
        <v>146</v>
      </c>
      <c r="D144" t="s">
        <v>93</v>
      </c>
      <c r="E144" t="s">
        <v>115</v>
      </c>
      <c r="F144" t="s">
        <v>289</v>
      </c>
      <c r="G144">
        <v>50</v>
      </c>
      <c r="H144">
        <v>2</v>
      </c>
      <c r="I144" t="s">
        <v>520</v>
      </c>
      <c r="J144" t="s">
        <v>64</v>
      </c>
      <c r="K144" t="s">
        <v>465</v>
      </c>
      <c r="L144" t="s">
        <v>77</v>
      </c>
      <c r="M144" t="s">
        <v>531</v>
      </c>
      <c r="N144" t="s">
        <v>531</v>
      </c>
      <c r="O144" t="s">
        <v>72</v>
      </c>
      <c r="P144" t="s">
        <v>72</v>
      </c>
      <c r="Q144" t="s">
        <v>72</v>
      </c>
      <c r="R144" t="s">
        <v>72</v>
      </c>
      <c r="S144" t="s">
        <v>72</v>
      </c>
      <c r="T144" t="s">
        <v>72</v>
      </c>
      <c r="U144">
        <v>1177.65</v>
      </c>
      <c r="V144">
        <v>941.36</v>
      </c>
    </row>
    <row r="145" spans="1:22">
      <c r="A145" t="s">
        <v>57</v>
      </c>
      <c r="B145" t="s">
        <v>532</v>
      </c>
      <c r="C145" t="s">
        <v>146</v>
      </c>
      <c r="D145" t="s">
        <v>168</v>
      </c>
      <c r="E145" t="s">
        <v>115</v>
      </c>
      <c r="F145" t="s">
        <v>289</v>
      </c>
      <c r="G145">
        <v>50</v>
      </c>
      <c r="H145">
        <v>2</v>
      </c>
      <c r="I145" t="s">
        <v>520</v>
      </c>
      <c r="J145" t="s">
        <v>64</v>
      </c>
      <c r="K145" t="s">
        <v>465</v>
      </c>
      <c r="L145" t="s">
        <v>77</v>
      </c>
      <c r="M145" t="s">
        <v>533</v>
      </c>
      <c r="N145" t="s">
        <v>533</v>
      </c>
      <c r="O145" t="s">
        <v>72</v>
      </c>
      <c r="P145" t="s">
        <v>72</v>
      </c>
      <c r="Q145" t="s">
        <v>72</v>
      </c>
      <c r="R145" t="s">
        <v>72</v>
      </c>
      <c r="S145" t="s">
        <v>72</v>
      </c>
      <c r="T145" t="s">
        <v>72</v>
      </c>
      <c r="U145">
        <v>1002.31</v>
      </c>
      <c r="V145">
        <v>832.35</v>
      </c>
    </row>
    <row r="146" spans="1:22">
      <c r="A146" t="s">
        <v>57</v>
      </c>
      <c r="B146" t="s">
        <v>534</v>
      </c>
      <c r="C146" t="s">
        <v>249</v>
      </c>
      <c r="D146" t="s">
        <v>168</v>
      </c>
      <c r="E146" t="s">
        <v>107</v>
      </c>
      <c r="F146" t="s">
        <v>451</v>
      </c>
      <c r="G146">
        <v>48</v>
      </c>
      <c r="H146">
        <v>1</v>
      </c>
      <c r="I146" t="s">
        <v>516</v>
      </c>
      <c r="J146" t="s">
        <v>64</v>
      </c>
      <c r="K146" t="s">
        <v>517</v>
      </c>
      <c r="L146" t="s">
        <v>77</v>
      </c>
      <c r="M146" t="s">
        <v>535</v>
      </c>
      <c r="N146" t="s">
        <v>535</v>
      </c>
      <c r="O146" t="s">
        <v>72</v>
      </c>
      <c r="P146" t="s">
        <v>72</v>
      </c>
      <c r="Q146" t="s">
        <v>72</v>
      </c>
      <c r="R146" t="s">
        <v>72</v>
      </c>
      <c r="S146" t="s">
        <v>72</v>
      </c>
      <c r="T146" t="s">
        <v>72</v>
      </c>
      <c r="U146">
        <v>755.5</v>
      </c>
      <c r="V146">
        <v>682.14</v>
      </c>
    </row>
    <row r="147" spans="1:22">
      <c r="A147" t="s">
        <v>57</v>
      </c>
      <c r="B147" t="s">
        <v>536</v>
      </c>
      <c r="C147" t="s">
        <v>249</v>
      </c>
      <c r="D147" t="s">
        <v>168</v>
      </c>
      <c r="E147" t="s">
        <v>107</v>
      </c>
      <c r="F147" t="s">
        <v>451</v>
      </c>
      <c r="G147">
        <v>48</v>
      </c>
      <c r="H147">
        <v>1</v>
      </c>
      <c r="I147" t="s">
        <v>516</v>
      </c>
      <c r="J147" t="s">
        <v>64</v>
      </c>
      <c r="K147" t="s">
        <v>517</v>
      </c>
      <c r="L147" t="s">
        <v>77</v>
      </c>
      <c r="M147" t="s">
        <v>537</v>
      </c>
      <c r="N147" t="s">
        <v>537</v>
      </c>
      <c r="O147" t="s">
        <v>72</v>
      </c>
      <c r="P147" t="s">
        <v>72</v>
      </c>
      <c r="Q147" t="s">
        <v>72</v>
      </c>
      <c r="R147" t="s">
        <v>72</v>
      </c>
      <c r="S147" t="s">
        <v>72</v>
      </c>
      <c r="T147" t="s">
        <v>72</v>
      </c>
      <c r="U147">
        <v>1058.08</v>
      </c>
      <c r="V147">
        <v>911.37</v>
      </c>
    </row>
    <row r="148" spans="1:22">
      <c r="A148" t="s">
        <v>133</v>
      </c>
      <c r="B148" t="s">
        <v>538</v>
      </c>
      <c r="C148" t="s">
        <v>539</v>
      </c>
      <c r="D148" t="s">
        <v>540</v>
      </c>
      <c r="E148" t="s">
        <v>136</v>
      </c>
      <c r="F148" t="s">
        <v>541</v>
      </c>
      <c r="G148">
        <v>50</v>
      </c>
      <c r="H148">
        <v>3</v>
      </c>
      <c r="I148" t="s">
        <v>408</v>
      </c>
      <c r="J148" t="s">
        <v>64</v>
      </c>
      <c r="K148" t="s">
        <v>231</v>
      </c>
      <c r="L148" t="s">
        <v>104</v>
      </c>
      <c r="M148" t="s">
        <v>542</v>
      </c>
      <c r="N148" t="s">
        <v>542</v>
      </c>
      <c r="O148" t="s">
        <v>72</v>
      </c>
      <c r="P148" t="s">
        <v>72</v>
      </c>
      <c r="Q148" t="s">
        <v>72</v>
      </c>
      <c r="R148" t="s">
        <v>72</v>
      </c>
      <c r="S148" t="s">
        <v>72</v>
      </c>
      <c r="T148" t="s">
        <v>72</v>
      </c>
      <c r="U148" t="s">
        <v>72</v>
      </c>
      <c r="V148">
        <v>1434.855</v>
      </c>
    </row>
    <row r="149" spans="1:22">
      <c r="A149" t="s">
        <v>57</v>
      </c>
      <c r="B149" t="s">
        <v>543</v>
      </c>
      <c r="C149" t="s">
        <v>357</v>
      </c>
      <c r="D149" t="s">
        <v>93</v>
      </c>
      <c r="E149" t="s">
        <v>115</v>
      </c>
      <c r="F149" t="s">
        <v>358</v>
      </c>
      <c r="G149">
        <v>48</v>
      </c>
      <c r="H149">
        <v>2</v>
      </c>
      <c r="I149" t="s">
        <v>520</v>
      </c>
      <c r="J149" t="s">
        <v>64</v>
      </c>
      <c r="K149" t="s">
        <v>277</v>
      </c>
      <c r="L149" t="s">
        <v>171</v>
      </c>
      <c r="M149" t="s">
        <v>544</v>
      </c>
      <c r="N149" t="s">
        <v>544</v>
      </c>
      <c r="O149" t="s">
        <v>72</v>
      </c>
      <c r="P149" t="s">
        <v>72</v>
      </c>
      <c r="Q149" t="s">
        <v>72</v>
      </c>
      <c r="R149" t="s">
        <v>72</v>
      </c>
      <c r="S149" t="s">
        <v>72</v>
      </c>
      <c r="T149" t="s">
        <v>72</v>
      </c>
      <c r="U149">
        <v>1402.47</v>
      </c>
      <c r="V149">
        <v>1340.1</v>
      </c>
    </row>
    <row r="150" spans="1:22">
      <c r="A150" t="s">
        <v>133</v>
      </c>
      <c r="B150" t="s">
        <v>545</v>
      </c>
      <c r="C150" t="s">
        <v>214</v>
      </c>
      <c r="D150" t="s">
        <v>93</v>
      </c>
      <c r="E150" t="s">
        <v>136</v>
      </c>
      <c r="F150" t="s">
        <v>275</v>
      </c>
      <c r="G150">
        <v>50</v>
      </c>
      <c r="H150">
        <v>3</v>
      </c>
      <c r="I150" t="s">
        <v>546</v>
      </c>
      <c r="J150" t="s">
        <v>230</v>
      </c>
      <c r="K150" t="s">
        <v>547</v>
      </c>
      <c r="L150" t="s">
        <v>151</v>
      </c>
      <c r="M150" t="s">
        <v>548</v>
      </c>
      <c r="N150" t="s">
        <v>548</v>
      </c>
      <c r="O150" t="s">
        <v>72</v>
      </c>
      <c r="P150" t="s">
        <v>72</v>
      </c>
      <c r="Q150" t="s">
        <v>72</v>
      </c>
      <c r="R150" t="s">
        <v>72</v>
      </c>
      <c r="S150" t="s">
        <v>72</v>
      </c>
      <c r="T150" t="s">
        <v>72</v>
      </c>
      <c r="U150" t="s">
        <v>72</v>
      </c>
      <c r="V150">
        <v>514.46</v>
      </c>
    </row>
    <row r="151" spans="1:22">
      <c r="A151" t="s">
        <v>133</v>
      </c>
      <c r="B151" t="s">
        <v>549</v>
      </c>
      <c r="C151" t="s">
        <v>329</v>
      </c>
      <c r="D151" t="s">
        <v>102</v>
      </c>
      <c r="E151" t="s">
        <v>386</v>
      </c>
      <c r="F151" t="s">
        <v>137</v>
      </c>
      <c r="G151">
        <v>50</v>
      </c>
      <c r="H151">
        <v>2</v>
      </c>
      <c r="I151" t="s">
        <v>550</v>
      </c>
      <c r="J151" t="s">
        <v>210</v>
      </c>
      <c r="K151" t="s">
        <v>551</v>
      </c>
      <c r="L151" t="s">
        <v>552</v>
      </c>
      <c r="M151" t="s">
        <v>553</v>
      </c>
      <c r="N151" t="s">
        <v>553</v>
      </c>
      <c r="O151" t="s">
        <v>72</v>
      </c>
      <c r="P151" t="s">
        <v>72</v>
      </c>
      <c r="Q151" t="s">
        <v>72</v>
      </c>
      <c r="R151" t="s">
        <v>72</v>
      </c>
      <c r="S151" t="s">
        <v>72</v>
      </c>
      <c r="T151" t="s">
        <v>72</v>
      </c>
      <c r="U151" t="s">
        <v>72</v>
      </c>
      <c r="V151">
        <v>750.8</v>
      </c>
    </row>
    <row r="152" spans="1:22">
      <c r="A152" t="s">
        <v>133</v>
      </c>
      <c r="B152" t="s">
        <v>554</v>
      </c>
      <c r="C152" t="s">
        <v>539</v>
      </c>
      <c r="D152" t="s">
        <v>102</v>
      </c>
      <c r="E152" t="s">
        <v>386</v>
      </c>
      <c r="F152" t="s">
        <v>555</v>
      </c>
      <c r="G152">
        <v>50</v>
      </c>
      <c r="H152">
        <v>3</v>
      </c>
      <c r="I152" t="s">
        <v>550</v>
      </c>
      <c r="J152" t="s">
        <v>210</v>
      </c>
      <c r="K152" t="s">
        <v>547</v>
      </c>
      <c r="L152" t="s">
        <v>556</v>
      </c>
      <c r="M152" t="s">
        <v>557</v>
      </c>
      <c r="N152" t="s">
        <v>557</v>
      </c>
      <c r="O152" t="s">
        <v>72</v>
      </c>
      <c r="P152" t="s">
        <v>72</v>
      </c>
      <c r="Q152" t="s">
        <v>72</v>
      </c>
      <c r="R152" t="s">
        <v>72</v>
      </c>
      <c r="S152" t="s">
        <v>72</v>
      </c>
      <c r="T152" t="s">
        <v>72</v>
      </c>
      <c r="U152" t="s">
        <v>72</v>
      </c>
      <c r="V152">
        <v>945.57</v>
      </c>
    </row>
    <row r="153" spans="1:22">
      <c r="A153" t="s">
        <v>133</v>
      </c>
      <c r="B153" t="s">
        <v>558</v>
      </c>
      <c r="C153" t="s">
        <v>430</v>
      </c>
      <c r="D153" t="s">
        <v>93</v>
      </c>
      <c r="E153" t="s">
        <v>235</v>
      </c>
      <c r="F153" t="s">
        <v>391</v>
      </c>
      <c r="G153">
        <v>50</v>
      </c>
      <c r="H153">
        <v>2</v>
      </c>
      <c r="I153" t="s">
        <v>488</v>
      </c>
      <c r="J153" t="s">
        <v>230</v>
      </c>
      <c r="K153" t="s">
        <v>231</v>
      </c>
      <c r="L153" t="s">
        <v>151</v>
      </c>
      <c r="M153" t="s">
        <v>559</v>
      </c>
      <c r="N153" t="s">
        <v>559</v>
      </c>
      <c r="O153" t="s">
        <v>72</v>
      </c>
      <c r="P153" t="s">
        <v>72</v>
      </c>
      <c r="Q153" t="s">
        <v>72</v>
      </c>
      <c r="R153" t="s">
        <v>72</v>
      </c>
      <c r="S153" t="s">
        <v>72</v>
      </c>
      <c r="T153" t="s">
        <v>72</v>
      </c>
      <c r="U153" t="s">
        <v>72</v>
      </c>
      <c r="V153">
        <v>351.665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A1" sqref="A1"/>
    </sheetView>
  </sheetViews>
  <sheetFormatPr defaultColWidth="9" defaultRowHeight="16.8" outlineLevelRow="4" outlineLevelCol="1"/>
  <sheetData>
    <row r="1" spans="1:2">
      <c r="A1" s="1" t="s">
        <v>560</v>
      </c>
      <c r="B1" s="1" t="s">
        <v>561</v>
      </c>
    </row>
    <row r="2" spans="1:2">
      <c r="A2" t="s">
        <v>562</v>
      </c>
      <c r="B2">
        <v>152</v>
      </c>
    </row>
    <row r="3" spans="1:2">
      <c r="A3" t="s">
        <v>563</v>
      </c>
      <c r="B3">
        <v>8</v>
      </c>
    </row>
    <row r="4" spans="1:2">
      <c r="A4" t="s">
        <v>564</v>
      </c>
      <c r="B4">
        <v>7</v>
      </c>
    </row>
    <row r="5" spans="1:2">
      <c r="A5" t="s">
        <v>565</v>
      </c>
      <c r="B5">
        <v>28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Adjacent Years</vt:lpstr>
      <vt:lpstr>All Year Pairs</vt:lpstr>
      <vt:lpstr>Annual_Price_Data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DJ</cp:lastModifiedBy>
  <dcterms:created xsi:type="dcterms:W3CDTF">2025-12-04T12:02:00Z</dcterms:created>
  <dcterms:modified xsi:type="dcterms:W3CDTF">2025-12-04T14:38:52Z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1033-6.7.1.8828</vt:lpwstr>
  </property>
  <property fmtid="{D5CDD505-2E9C-101B-9397-08002B2CF9AE}" pid="3" name="ICV">
    <vt:lpwstr>97C083589BF796C54CE33169BDFD5C68_42</vt:lpwstr>
  </property>
</Properties>
</file>